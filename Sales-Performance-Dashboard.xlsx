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 Me" sheetId="2" state="visible" r:id="rId4"/>
    <sheet name="Sales Data" sheetId="3" state="visible" r:id="rId5"/>
    <sheet name="Products" sheetId="4" state="visible" r:id="rId6"/>
    <sheet name="Targets" sheetId="5" state="visible" r:id="rId7"/>
    <sheet name="Calc" sheetId="6" state="visible" r:id="rId8"/>
  </sheets>
  <definedNames>
    <definedName function="false" hidden="false" localSheetId="0" name="_xlnm.Print_Area" vbProcedure="false">Dashboard!$A$1:$R$44</definedName>
    <definedName function="false" hidden="true" localSheetId="2" name="_xlnm._FilterDatabase" vbProcedure="false">'Sales Data'!$A$1:$M$571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<sst xmlns="http://schemas.openxmlformats.org/spreadsheetml/2006/main" count="2409" uniqueCount="666">
  <si>
    <t xml:space="preserve">Bluewave Electronics — Sales Performance Dashboard 2025</t>
  </si>
  <si>
    <t xml:space="preserve">Sample data for demonstration. Choose a region in the yellow cell to filter every number and chart.</t>
  </si>
  <si>
    <t xml:space="preserve">Region</t>
  </si>
  <si>
    <t xml:space="preserve">All</t>
  </si>
  <si>
    <t xml:space="preserve">Total Revenue</t>
  </si>
  <si>
    <t xml:space="preserve">Total Profit</t>
  </si>
  <si>
    <t xml:space="preserve">Profit Margin</t>
  </si>
  <si>
    <t xml:space="preserve">Orders</t>
  </si>
  <si>
    <t xml:space="preserve">Avg Order Value</t>
  </si>
  <si>
    <t xml:space="preserve">Target Achieved</t>
  </si>
  <si>
    <t xml:space="preserve">Month</t>
  </si>
  <si>
    <t xml:space="preserve">Revenue ($)</t>
  </si>
  <si>
    <t xml:space="preserve">Profit ($)</t>
  </si>
  <si>
    <t xml:space="preserve">Target ($)</t>
  </si>
  <si>
    <t xml:space="preserve">Achieved %</t>
  </si>
  <si>
    <t xml:space="preserve">Top 5 Products</t>
  </si>
  <si>
    <t xml:space="preserve">Jan</t>
  </si>
  <si>
    <t xml:space="preserve">North</t>
  </si>
  <si>
    <t xml:space="preserve">Feb</t>
  </si>
  <si>
    <t xml:space="preserve">South</t>
  </si>
  <si>
    <t xml:space="preserve">Mar</t>
  </si>
  <si>
    <t xml:space="preserve">East</t>
  </si>
  <si>
    <t xml:space="preserve">Apr</t>
  </si>
  <si>
    <t xml:space="preserve">West</t>
  </si>
  <si>
    <t xml:space="preserve">May</t>
  </si>
  <si>
    <t xml:space="preserve">Jun</t>
  </si>
  <si>
    <t xml:space="preserve">Category</t>
  </si>
  <si>
    <t xml:space="preserve">Share %</t>
  </si>
  <si>
    <t xml:space="preserve">Jul</t>
  </si>
  <si>
    <t xml:space="preserve">Laptops</t>
  </si>
  <si>
    <t xml:space="preserve">Aug</t>
  </si>
  <si>
    <t xml:space="preserve">Phones</t>
  </si>
  <si>
    <t xml:space="preserve">Sep</t>
  </si>
  <si>
    <t xml:space="preserve">Tablets</t>
  </si>
  <si>
    <t xml:space="preserve">Oct</t>
  </si>
  <si>
    <t xml:space="preserve">Monitors</t>
  </si>
  <si>
    <t xml:space="preserve">Nov</t>
  </si>
  <si>
    <t xml:space="preserve">Accessories</t>
  </si>
  <si>
    <t xml:space="preserve">Dec</t>
  </si>
  <si>
    <t xml:space="preserve">Total</t>
  </si>
  <si>
    <t xml:space="preserve">Bluewave Electronics — Sales Performance Dashboard</t>
  </si>
  <si>
    <t xml:space="preserve">A demo workbook showing Excel dashboard, formula and automation skills. All company names and data are fictional.</t>
  </si>
  <si>
    <t xml:space="preserve">How to use</t>
  </si>
  <si>
    <t xml:space="preserve">1. Open the Dashboard sheet and pick a region in the yellow cell (C5). Every KPI, table and chart updates.</t>
  </si>
  <si>
    <t xml:space="preserve">2. Add new orders at the bottom of 'Sales Data' (Order ID, date, region, salesperson, product, units). Price, cost, revenue and profit fill in by formula; copy the formulas down.</t>
  </si>
  <si>
    <t xml:space="preserve">3. Change prices or costs in 'Products', or targets in 'Targets' (blue cells are inputs).</t>
  </si>
  <si>
    <t xml:space="preserve">Skills shown</t>
  </si>
  <si>
    <t xml:space="preserve">• INDEX/MATCH lookups from a product master table</t>
  </si>
  <si>
    <t xml:space="preserve">• SUMIFS and SUMPRODUCT with a region filter controlled by a drop-down (data validation)</t>
  </si>
  <si>
    <t xml:space="preserve">• KPI tiles, target vs actual, achievement % with conditional formatting and data bars</t>
  </si>
  <si>
    <t xml:space="preserve">• Top 5 products ranking with LARGE + INDEX/MATCH (tie-safe helper column)</t>
  </si>
  <si>
    <t xml:space="preserve">• Line and bar charts linked to live formulas</t>
  </si>
  <si>
    <t xml:space="preserve">• VBA macro module (SalesDashboardMacros.bas): refresh, export dashboard to PDF, add a new order row</t>
  </si>
  <si>
    <t xml:space="preserve">• Power Query script (CleanSalesData.m): import, clean and type raw CSV sales exports</t>
  </si>
  <si>
    <t xml:space="preserve">Add the VBA macros</t>
  </si>
  <si>
    <t xml:space="preserve">Save as .xlsm → Alt+F11 → File → Import File → SalesDashboardMacros.bas → assign macros to buttons on the Dashboard.</t>
  </si>
  <si>
    <t xml:space="preserve">Add the Power Query</t>
  </si>
  <si>
    <t xml:space="preserve">Data → Get Data → From Other Sources → Blank Query → Advanced Editor → paste CleanSalesData.m → set the file path → Close &amp; Load.</t>
  </si>
  <si>
    <t xml:space="preserve">Order ID</t>
  </si>
  <si>
    <t xml:space="preserve">Order Date</t>
  </si>
  <si>
    <t xml:space="preserve">Salesperson</t>
  </si>
  <si>
    <t xml:space="preserve">Product</t>
  </si>
  <si>
    <t xml:space="preserve">Units</t>
  </si>
  <si>
    <t xml:space="preserve">Unit Price ($)</t>
  </si>
  <si>
    <t xml:space="preserve">Unit Cost ($)</t>
  </si>
  <si>
    <t xml:space="preserve">Cost ($)</t>
  </si>
  <si>
    <t xml:space="preserve">SO-10003</t>
  </si>
  <si>
    <t xml:space="preserve">Ayesha Khan</t>
  </si>
  <si>
    <t xml:space="preserve">Laptop Air 13</t>
  </si>
  <si>
    <t xml:space="preserve">SO-10012</t>
  </si>
  <si>
    <t xml:space="preserve">Usman Tariq</t>
  </si>
  <si>
    <t xml:space="preserve">USB-C Hub</t>
  </si>
  <si>
    <t xml:space="preserve">SO-10018</t>
  </si>
  <si>
    <t xml:space="preserve">Sara Malik</t>
  </si>
  <si>
    <t xml:space="preserve">27in Monitor</t>
  </si>
  <si>
    <t xml:space="preserve">SO-10022</t>
  </si>
  <si>
    <t xml:space="preserve">SO-10031</t>
  </si>
  <si>
    <t xml:space="preserve">Zara Sheikh</t>
  </si>
  <si>
    <t xml:space="preserve">SO-10002</t>
  </si>
  <si>
    <t xml:space="preserve">Smart Watch</t>
  </si>
  <si>
    <t xml:space="preserve">SO-10035</t>
  </si>
  <si>
    <t xml:space="preserve">Laptop Pro 14</t>
  </si>
  <si>
    <t xml:space="preserve">SO-10020</t>
  </si>
  <si>
    <t xml:space="preserve">Phone S23</t>
  </si>
  <si>
    <t xml:space="preserve">SO-10026</t>
  </si>
  <si>
    <t xml:space="preserve">Ali Hassan</t>
  </si>
  <si>
    <t xml:space="preserve">SO-10008</t>
  </si>
  <si>
    <t xml:space="preserve">Omar Farooq</t>
  </si>
  <si>
    <t xml:space="preserve">Wireless Earbuds</t>
  </si>
  <si>
    <t xml:space="preserve">SO-10034</t>
  </si>
  <si>
    <t xml:space="preserve">Hina Raza</t>
  </si>
  <si>
    <t xml:space="preserve">Tablet 11</t>
  </si>
  <si>
    <t xml:space="preserve">SO-10005</t>
  </si>
  <si>
    <t xml:space="preserve">SO-10013</t>
  </si>
  <si>
    <t xml:space="preserve">Gaming Laptop X</t>
  </si>
  <si>
    <t xml:space="preserve">SO-10027</t>
  </si>
  <si>
    <t xml:space="preserve">Tablet Mini</t>
  </si>
  <si>
    <t xml:space="preserve">SO-10033</t>
  </si>
  <si>
    <t xml:space="preserve">Curved Monitor 32</t>
  </si>
  <si>
    <t xml:space="preserve">SO-10004</t>
  </si>
  <si>
    <t xml:space="preserve">SO-10009</t>
  </si>
  <si>
    <t xml:space="preserve">SO-10010</t>
  </si>
  <si>
    <t xml:space="preserve">SO-10015</t>
  </si>
  <si>
    <t xml:space="preserve">SO-10021</t>
  </si>
  <si>
    <t xml:space="preserve">Phone Lite</t>
  </si>
  <si>
    <t xml:space="preserve">SO-10036</t>
  </si>
  <si>
    <t xml:space="preserve">SO-10024</t>
  </si>
  <si>
    <t xml:space="preserve">SO-10029</t>
  </si>
  <si>
    <t xml:space="preserve">SO-10001</t>
  </si>
  <si>
    <t xml:space="preserve">SO-10016</t>
  </si>
  <si>
    <t xml:space="preserve">SO-10019</t>
  </si>
  <si>
    <t xml:space="preserve">SO-10014</t>
  </si>
  <si>
    <t xml:space="preserve">SO-10025</t>
  </si>
  <si>
    <t xml:space="preserve">SO-10032</t>
  </si>
  <si>
    <t xml:space="preserve">SO-10006</t>
  </si>
  <si>
    <t xml:space="preserve">SO-10011</t>
  </si>
  <si>
    <t xml:space="preserve">Bilal Ahmed</t>
  </si>
  <si>
    <t xml:space="preserve">SO-10007</t>
  </si>
  <si>
    <t xml:space="preserve">SO-10023</t>
  </si>
  <si>
    <t xml:space="preserve">SO-10017</t>
  </si>
  <si>
    <t xml:space="preserve">SO-10028</t>
  </si>
  <si>
    <t xml:space="preserve">SO-10030</t>
  </si>
  <si>
    <t xml:space="preserve">SO-10048</t>
  </si>
  <si>
    <t xml:space="preserve">SO-10050</t>
  </si>
  <si>
    <t xml:space="preserve">SO-10037</t>
  </si>
  <si>
    <t xml:space="preserve">SO-10040</t>
  </si>
  <si>
    <t xml:space="preserve">SO-10067</t>
  </si>
  <si>
    <t xml:space="preserve">SO-10058</t>
  </si>
  <si>
    <t xml:space="preserve">SO-10069</t>
  </si>
  <si>
    <t xml:space="preserve">SO-10044</t>
  </si>
  <si>
    <t xml:space="preserve">SO-10043</t>
  </si>
  <si>
    <t xml:space="preserve">SO-10047</t>
  </si>
  <si>
    <t xml:space="preserve">SO-10055</t>
  </si>
  <si>
    <t xml:space="preserve">SO-10070</t>
  </si>
  <si>
    <t xml:space="preserve">SO-10039</t>
  </si>
  <si>
    <t xml:space="preserve">SO-10038</t>
  </si>
  <si>
    <t xml:space="preserve">SO-10061</t>
  </si>
  <si>
    <t xml:space="preserve">SO-10059</t>
  </si>
  <si>
    <t xml:space="preserve">SO-10062</t>
  </si>
  <si>
    <t xml:space="preserve">SO-10065</t>
  </si>
  <si>
    <t xml:space="preserve">SO-10042</t>
  </si>
  <si>
    <t xml:space="preserve">SO-10049</t>
  </si>
  <si>
    <t xml:space="preserve">SO-10057</t>
  </si>
  <si>
    <t xml:space="preserve">SO-10052</t>
  </si>
  <si>
    <t xml:space="preserve">SO-10063</t>
  </si>
  <si>
    <t xml:space="preserve">SO-10051</t>
  </si>
  <si>
    <t xml:space="preserve">SO-10054</t>
  </si>
  <si>
    <t xml:space="preserve">SO-10064</t>
  </si>
  <si>
    <t xml:space="preserve">SO-10053</t>
  </si>
  <si>
    <t xml:space="preserve">SO-10056</t>
  </si>
  <si>
    <t xml:space="preserve">SO-10060</t>
  </si>
  <si>
    <t xml:space="preserve">SO-10066</t>
  </si>
  <si>
    <t xml:space="preserve">SO-10046</t>
  </si>
  <si>
    <t xml:space="preserve">SO-10045</t>
  </si>
  <si>
    <t xml:space="preserve">SO-10068</t>
  </si>
  <si>
    <t xml:space="preserve">SO-10041</t>
  </si>
  <si>
    <t xml:space="preserve">SO-10077</t>
  </si>
  <si>
    <t xml:space="preserve">SO-10079</t>
  </si>
  <si>
    <t xml:space="preserve">SO-10101</t>
  </si>
  <si>
    <t xml:space="preserve">SO-10097</t>
  </si>
  <si>
    <t xml:space="preserve">SO-10105</t>
  </si>
  <si>
    <t xml:space="preserve">SO-10092</t>
  </si>
  <si>
    <t xml:space="preserve">SO-10108</t>
  </si>
  <si>
    <t xml:space="preserve">SO-10074</t>
  </si>
  <si>
    <t xml:space="preserve">SO-10091</t>
  </si>
  <si>
    <t xml:space="preserve">SO-10109</t>
  </si>
  <si>
    <t xml:space="preserve">SO-10088</t>
  </si>
  <si>
    <t xml:space="preserve">SO-10104</t>
  </si>
  <si>
    <t xml:space="preserve">SO-10093</t>
  </si>
  <si>
    <t xml:space="preserve">SO-10094</t>
  </si>
  <si>
    <t xml:space="preserve">SO-10106</t>
  </si>
  <si>
    <t xml:space="preserve">SO-10083</t>
  </si>
  <si>
    <t xml:space="preserve">SO-10085</t>
  </si>
  <si>
    <t xml:space="preserve">SO-10090</t>
  </si>
  <si>
    <t xml:space="preserve">SO-10096</t>
  </si>
  <si>
    <t xml:space="preserve">SO-10102</t>
  </si>
  <si>
    <t xml:space="preserve">SO-10080</t>
  </si>
  <si>
    <t xml:space="preserve">SO-10082</t>
  </si>
  <si>
    <t xml:space="preserve">SO-10071</t>
  </si>
  <si>
    <t xml:space="preserve">SO-10084</t>
  </si>
  <si>
    <t xml:space="preserve">SO-10098</t>
  </si>
  <si>
    <t xml:space="preserve">SO-10110</t>
  </si>
  <si>
    <t xml:space="preserve">SO-10111</t>
  </si>
  <si>
    <t xml:space="preserve">SO-10087</t>
  </si>
  <si>
    <t xml:space="preserve">SO-10086</t>
  </si>
  <si>
    <t xml:space="preserve">SO-10103</t>
  </si>
  <si>
    <t xml:space="preserve">SO-10073</t>
  </si>
  <si>
    <t xml:space="preserve">SO-10081</t>
  </si>
  <si>
    <t xml:space="preserve">SO-10099</t>
  </si>
  <si>
    <t xml:space="preserve">SO-10078</t>
  </si>
  <si>
    <t xml:space="preserve">SO-10095</t>
  </si>
  <si>
    <t xml:space="preserve">SO-10100</t>
  </si>
  <si>
    <t xml:space="preserve">SO-10072</t>
  </si>
  <si>
    <t xml:space="preserve">SO-10089</t>
  </si>
  <si>
    <t xml:space="preserve">SO-10076</t>
  </si>
  <si>
    <t xml:space="preserve">SO-10075</t>
  </si>
  <si>
    <t xml:space="preserve">SO-10107</t>
  </si>
  <si>
    <t xml:space="preserve">SO-10115</t>
  </si>
  <si>
    <t xml:space="preserve">SO-10130</t>
  </si>
  <si>
    <t xml:space="preserve">SO-10112</t>
  </si>
  <si>
    <t xml:space="preserve">SO-10154</t>
  </si>
  <si>
    <t xml:space="preserve">SO-10124</t>
  </si>
  <si>
    <t xml:space="preserve">SO-10125</t>
  </si>
  <si>
    <t xml:space="preserve">SO-10139</t>
  </si>
  <si>
    <t xml:space="preserve">SO-10118</t>
  </si>
  <si>
    <t xml:space="preserve">SO-10147</t>
  </si>
  <si>
    <t xml:space="preserve">SO-10131</t>
  </si>
  <si>
    <t xml:space="preserve">SO-10117</t>
  </si>
  <si>
    <t xml:space="preserve">SO-10133</t>
  </si>
  <si>
    <t xml:space="preserve">SO-10141</t>
  </si>
  <si>
    <t xml:space="preserve">SO-10152</t>
  </si>
  <si>
    <t xml:space="preserve">SO-10142</t>
  </si>
  <si>
    <t xml:space="preserve">SO-10145</t>
  </si>
  <si>
    <t xml:space="preserve">SO-10121</t>
  </si>
  <si>
    <t xml:space="preserve">SO-10135</t>
  </si>
  <si>
    <t xml:space="preserve">SO-10138</t>
  </si>
  <si>
    <t xml:space="preserve">SO-10113</t>
  </si>
  <si>
    <t xml:space="preserve">SO-10126</t>
  </si>
  <si>
    <t xml:space="preserve">SO-10153</t>
  </si>
  <si>
    <t xml:space="preserve">SO-10127</t>
  </si>
  <si>
    <t xml:space="preserve">SO-10129</t>
  </si>
  <si>
    <t xml:space="preserve">SO-10149</t>
  </si>
  <si>
    <t xml:space="preserve">SO-10144</t>
  </si>
  <si>
    <t xml:space="preserve">SO-10146</t>
  </si>
  <si>
    <t xml:space="preserve">SO-10148</t>
  </si>
  <si>
    <t xml:space="preserve">SO-10122</t>
  </si>
  <si>
    <t xml:space="preserve">SO-10150</t>
  </si>
  <si>
    <t xml:space="preserve">SO-10132</t>
  </si>
  <si>
    <t xml:space="preserve">SO-10116</t>
  </si>
  <si>
    <t xml:space="preserve">SO-10134</t>
  </si>
  <si>
    <t xml:space="preserve">SO-10143</t>
  </si>
  <si>
    <t xml:space="preserve">SO-10151</t>
  </si>
  <si>
    <t xml:space="preserve">SO-10136</t>
  </si>
  <si>
    <t xml:space="preserve">SO-10119</t>
  </si>
  <si>
    <t xml:space="preserve">SO-10137</t>
  </si>
  <si>
    <t xml:space="preserve">SO-10140</t>
  </si>
  <si>
    <t xml:space="preserve">SO-10114</t>
  </si>
  <si>
    <t xml:space="preserve">SO-10120</t>
  </si>
  <si>
    <t xml:space="preserve">SO-10123</t>
  </si>
  <si>
    <t xml:space="preserve">SO-10128</t>
  </si>
  <si>
    <t xml:space="preserve">SO-10169</t>
  </si>
  <si>
    <t xml:space="preserve">SO-10190</t>
  </si>
  <si>
    <t xml:space="preserve">SO-10155</t>
  </si>
  <si>
    <t xml:space="preserve">SO-10157</t>
  </si>
  <si>
    <t xml:space="preserve">SO-10167</t>
  </si>
  <si>
    <t xml:space="preserve">SO-10156</t>
  </si>
  <si>
    <t xml:space="preserve">SO-10189</t>
  </si>
  <si>
    <t xml:space="preserve">SO-10163</t>
  </si>
  <si>
    <t xml:space="preserve">SO-10192</t>
  </si>
  <si>
    <t xml:space="preserve">SO-10197</t>
  </si>
  <si>
    <t xml:space="preserve">SO-10161</t>
  </si>
  <si>
    <t xml:space="preserve">SO-10181</t>
  </si>
  <si>
    <t xml:space="preserve">SO-10188</t>
  </si>
  <si>
    <t xml:space="preserve">SO-10159</t>
  </si>
  <si>
    <t xml:space="preserve">SO-10177</t>
  </si>
  <si>
    <t xml:space="preserve">SO-10194</t>
  </si>
  <si>
    <t xml:space="preserve">SO-10172</t>
  </si>
  <si>
    <t xml:space="preserve">SO-10178</t>
  </si>
  <si>
    <t xml:space="preserve">SO-10180</t>
  </si>
  <si>
    <t xml:space="preserve">SO-10187</t>
  </si>
  <si>
    <t xml:space="preserve">SO-10191</t>
  </si>
  <si>
    <t xml:space="preserve">SO-10182</t>
  </si>
  <si>
    <t xml:space="preserve">SO-10198</t>
  </si>
  <si>
    <t xml:space="preserve">SO-10158</t>
  </si>
  <si>
    <t xml:space="preserve">SO-10171</t>
  </si>
  <si>
    <t xml:space="preserve">SO-10179</t>
  </si>
  <si>
    <t xml:space="preserve">SO-10164</t>
  </si>
  <si>
    <t xml:space="preserve">SO-10174</t>
  </si>
  <si>
    <t xml:space="preserve">SO-10193</t>
  </si>
  <si>
    <t xml:space="preserve">SO-10183</t>
  </si>
  <si>
    <t xml:space="preserve">SO-10184</t>
  </si>
  <si>
    <t xml:space="preserve">SO-10176</t>
  </si>
  <si>
    <t xml:space="preserve">SO-10186</t>
  </si>
  <si>
    <t xml:space="preserve">SO-10196</t>
  </si>
  <si>
    <t xml:space="preserve">SO-10166</t>
  </si>
  <si>
    <t xml:space="preserve">SO-10195</t>
  </si>
  <si>
    <t xml:space="preserve">SO-10160</t>
  </si>
  <si>
    <t xml:space="preserve">SO-10162</t>
  </si>
  <si>
    <t xml:space="preserve">SO-10170</t>
  </si>
  <si>
    <t xml:space="preserve">SO-10173</t>
  </si>
  <si>
    <t xml:space="preserve">SO-10175</t>
  </si>
  <si>
    <t xml:space="preserve">SO-10199</t>
  </si>
  <si>
    <t xml:space="preserve">SO-10200</t>
  </si>
  <si>
    <t xml:space="preserve">SO-10165</t>
  </si>
  <si>
    <t xml:space="preserve">SO-10168</t>
  </si>
  <si>
    <t xml:space="preserve">SO-10185</t>
  </si>
  <si>
    <t xml:space="preserve">SO-10211</t>
  </si>
  <si>
    <t xml:space="preserve">SO-10246</t>
  </si>
  <si>
    <t xml:space="preserve">SO-10217</t>
  </si>
  <si>
    <t xml:space="preserve">SO-10219</t>
  </si>
  <si>
    <t xml:space="preserve">SO-10220</t>
  </si>
  <si>
    <t xml:space="preserve">SO-10222</t>
  </si>
  <si>
    <t xml:space="preserve">SO-10232</t>
  </si>
  <si>
    <t xml:space="preserve">SO-10213</t>
  </si>
  <si>
    <t xml:space="preserve">SO-10225</t>
  </si>
  <si>
    <t xml:space="preserve">SO-10227</t>
  </si>
  <si>
    <t xml:space="preserve">SO-10201</t>
  </si>
  <si>
    <t xml:space="preserve">SO-10209</t>
  </si>
  <si>
    <t xml:space="preserve">SO-10233</t>
  </si>
  <si>
    <t xml:space="preserve">SO-10242</t>
  </si>
  <si>
    <t xml:space="preserve">SO-10204</t>
  </si>
  <si>
    <t xml:space="preserve">SO-10216</t>
  </si>
  <si>
    <t xml:space="preserve">SO-10231</t>
  </si>
  <si>
    <t xml:space="preserve">SO-10235</t>
  </si>
  <si>
    <t xml:space="preserve">SO-10237</t>
  </si>
  <si>
    <t xml:space="preserve">SO-10239</t>
  </si>
  <si>
    <t xml:space="preserve">SO-10241</t>
  </si>
  <si>
    <t xml:space="preserve">SO-10207</t>
  </si>
  <si>
    <t xml:space="preserve">SO-10215</t>
  </si>
  <si>
    <t xml:space="preserve">SO-10228</t>
  </si>
  <si>
    <t xml:space="preserve">SO-10230</t>
  </si>
  <si>
    <t xml:space="preserve">SO-10214</t>
  </si>
  <si>
    <t xml:space="preserve">SO-10205</t>
  </si>
  <si>
    <t xml:space="preserve">SO-10229</t>
  </si>
  <si>
    <t xml:space="preserve">SO-10234</t>
  </si>
  <si>
    <t xml:space="preserve">SO-10240</t>
  </si>
  <si>
    <t xml:space="preserve">SO-10203</t>
  </si>
  <si>
    <t xml:space="preserve">SO-10226</t>
  </si>
  <si>
    <t xml:space="preserve">SO-10202</t>
  </si>
  <si>
    <t xml:space="preserve">SO-10212</t>
  </si>
  <si>
    <t xml:space="preserve">SO-10238</t>
  </si>
  <si>
    <t xml:space="preserve">SO-10243</t>
  </si>
  <si>
    <t xml:space="preserve">SO-10223</t>
  </si>
  <si>
    <t xml:space="preserve">SO-10206</t>
  </si>
  <si>
    <t xml:space="preserve">SO-10221</t>
  </si>
  <si>
    <t xml:space="preserve">SO-10245</t>
  </si>
  <si>
    <t xml:space="preserve">SO-10210</t>
  </si>
  <si>
    <t xml:space="preserve">SO-10236</t>
  </si>
  <si>
    <t xml:space="preserve">SO-10208</t>
  </si>
  <si>
    <t xml:space="preserve">SO-10218</t>
  </si>
  <si>
    <t xml:space="preserve">SO-10224</t>
  </si>
  <si>
    <t xml:space="preserve">SO-10244</t>
  </si>
  <si>
    <t xml:space="preserve">SO-10260</t>
  </si>
  <si>
    <t xml:space="preserve">SO-10286</t>
  </si>
  <si>
    <t xml:space="preserve">SO-10251</t>
  </si>
  <si>
    <t xml:space="preserve">SO-10255</t>
  </si>
  <si>
    <t xml:space="preserve">SO-10278</t>
  </si>
  <si>
    <t xml:space="preserve">SO-10248</t>
  </si>
  <si>
    <t xml:space="preserve">SO-10259</t>
  </si>
  <si>
    <t xml:space="preserve">SO-10281</t>
  </si>
  <si>
    <t xml:space="preserve">SO-10288</t>
  </si>
  <si>
    <t xml:space="preserve">SO-10262</t>
  </si>
  <si>
    <t xml:space="preserve">SO-10268</t>
  </si>
  <si>
    <t xml:space="preserve">SO-10277</t>
  </si>
  <si>
    <t xml:space="preserve">SO-10271</t>
  </si>
  <si>
    <t xml:space="preserve">SO-10250</t>
  </si>
  <si>
    <t xml:space="preserve">SO-10258</t>
  </si>
  <si>
    <t xml:space="preserve">SO-10256</t>
  </si>
  <si>
    <t xml:space="preserve">SO-10252</t>
  </si>
  <si>
    <t xml:space="preserve">SO-10282</t>
  </si>
  <si>
    <t xml:space="preserve">SO-10257</t>
  </si>
  <si>
    <t xml:space="preserve">SO-10273</t>
  </si>
  <si>
    <t xml:space="preserve">SO-10283</t>
  </si>
  <si>
    <t xml:space="preserve">SO-10247</t>
  </si>
  <si>
    <t xml:space="preserve">SO-10279</t>
  </si>
  <si>
    <t xml:space="preserve">SO-10265</t>
  </si>
  <si>
    <t xml:space="preserve">SO-10253</t>
  </si>
  <si>
    <t xml:space="preserve">SO-10254</t>
  </si>
  <si>
    <t xml:space="preserve">SO-10264</t>
  </si>
  <si>
    <t xml:space="preserve">SO-10275</t>
  </si>
  <si>
    <t xml:space="preserve">SO-10284</t>
  </si>
  <si>
    <t xml:space="preserve">SO-10261</t>
  </si>
  <si>
    <t xml:space="preserve">SO-10276</t>
  </si>
  <si>
    <t xml:space="preserve">SO-10285</t>
  </si>
  <si>
    <t xml:space="preserve">SO-10289</t>
  </si>
  <si>
    <t xml:space="preserve">SO-10249</t>
  </si>
  <si>
    <t xml:space="preserve">SO-10266</t>
  </si>
  <si>
    <t xml:space="preserve">SO-10267</t>
  </si>
  <si>
    <t xml:space="preserve">SO-10269</t>
  </si>
  <si>
    <t xml:space="preserve">SO-10270</t>
  </si>
  <si>
    <t xml:space="preserve">SO-10280</t>
  </si>
  <si>
    <t xml:space="preserve">SO-10287</t>
  </si>
  <si>
    <t xml:space="preserve">SO-10263</t>
  </si>
  <si>
    <t xml:space="preserve">SO-10272</t>
  </si>
  <si>
    <t xml:space="preserve">SO-10274</t>
  </si>
  <si>
    <t xml:space="preserve">SO-10334</t>
  </si>
  <si>
    <t xml:space="preserve">SO-10291</t>
  </si>
  <si>
    <t xml:space="preserve">SO-10319</t>
  </si>
  <si>
    <t xml:space="preserve">SO-10330</t>
  </si>
  <si>
    <t xml:space="preserve">SO-10298</t>
  </si>
  <si>
    <t xml:space="preserve">SO-10299</t>
  </si>
  <si>
    <t xml:space="preserve">SO-10311</t>
  </si>
  <si>
    <t xml:space="preserve">SO-10325</t>
  </si>
  <si>
    <t xml:space="preserve">SO-10302</t>
  </si>
  <si>
    <t xml:space="preserve">SO-10308</t>
  </si>
  <si>
    <t xml:space="preserve">SO-10290</t>
  </si>
  <si>
    <t xml:space="preserve">SO-10314</t>
  </si>
  <si>
    <t xml:space="preserve">SO-10322</t>
  </si>
  <si>
    <t xml:space="preserve">SO-10305</t>
  </si>
  <si>
    <t xml:space="preserve">SO-10307</t>
  </si>
  <si>
    <t xml:space="preserve">SO-10310</t>
  </si>
  <si>
    <t xml:space="preserve">SO-10320</t>
  </si>
  <si>
    <t xml:space="preserve">SO-10328</t>
  </si>
  <si>
    <t xml:space="preserve">SO-10335</t>
  </si>
  <si>
    <t xml:space="preserve">SO-10303</t>
  </si>
  <si>
    <t xml:space="preserve">SO-10317</t>
  </si>
  <si>
    <t xml:space="preserve">SO-10318</t>
  </si>
  <si>
    <t xml:space="preserve">SO-10294</t>
  </si>
  <si>
    <t xml:space="preserve">SO-10313</t>
  </si>
  <si>
    <t xml:space="preserve">SO-10332</t>
  </si>
  <si>
    <t xml:space="preserve">SO-10301</t>
  </si>
  <si>
    <t xml:space="preserve">SO-10331</t>
  </si>
  <si>
    <t xml:space="preserve">SO-10333</t>
  </si>
  <si>
    <t xml:space="preserve">SO-10300</t>
  </si>
  <si>
    <t xml:space="preserve">SO-10304</t>
  </si>
  <si>
    <t xml:space="preserve">SO-10327</t>
  </si>
  <si>
    <t xml:space="preserve">SO-10337</t>
  </si>
  <si>
    <t xml:space="preserve">SO-10295</t>
  </si>
  <si>
    <t xml:space="preserve">SO-10329</t>
  </si>
  <si>
    <t xml:space="preserve">SO-10293</t>
  </si>
  <si>
    <t xml:space="preserve">SO-10297</t>
  </si>
  <si>
    <t xml:space="preserve">SO-10292</t>
  </si>
  <si>
    <t xml:space="preserve">SO-10324</t>
  </si>
  <si>
    <t xml:space="preserve">SO-10326</t>
  </si>
  <si>
    <t xml:space="preserve">SO-10312</t>
  </si>
  <si>
    <t xml:space="preserve">SO-10309</t>
  </si>
  <si>
    <t xml:space="preserve">SO-10336</t>
  </si>
  <si>
    <t xml:space="preserve">SO-10321</t>
  </si>
  <si>
    <t xml:space="preserve">SO-10306</t>
  </si>
  <si>
    <t xml:space="preserve">SO-10316</t>
  </si>
  <si>
    <t xml:space="preserve">SO-10323</t>
  </si>
  <si>
    <t xml:space="preserve">SO-10315</t>
  </si>
  <si>
    <t xml:space="preserve">SO-10296</t>
  </si>
  <si>
    <t xml:space="preserve">SO-10353</t>
  </si>
  <si>
    <t xml:space="preserve">SO-10361</t>
  </si>
  <si>
    <t xml:space="preserve">SO-10374</t>
  </si>
  <si>
    <t xml:space="preserve">SO-10348</t>
  </si>
  <si>
    <t xml:space="preserve">SO-10357</t>
  </si>
  <si>
    <t xml:space="preserve">SO-10373</t>
  </si>
  <si>
    <t xml:space="preserve">SO-10341</t>
  </si>
  <si>
    <t xml:space="preserve">SO-10356</t>
  </si>
  <si>
    <t xml:space="preserve">SO-10360</t>
  </si>
  <si>
    <t xml:space="preserve">SO-10362</t>
  </si>
  <si>
    <t xml:space="preserve">SO-10365</t>
  </si>
  <si>
    <t xml:space="preserve">SO-10368</t>
  </si>
  <si>
    <t xml:space="preserve">SO-10379</t>
  </si>
  <si>
    <t xml:space="preserve">SO-10387</t>
  </si>
  <si>
    <t xml:space="preserve">SO-10339</t>
  </si>
  <si>
    <t xml:space="preserve">SO-10343</t>
  </si>
  <si>
    <t xml:space="preserve">SO-10364</t>
  </si>
  <si>
    <t xml:space="preserve">SO-10366</t>
  </si>
  <si>
    <t xml:space="preserve">SO-10345</t>
  </si>
  <si>
    <t xml:space="preserve">SO-10358</t>
  </si>
  <si>
    <t xml:space="preserve">SO-10385</t>
  </si>
  <si>
    <t xml:space="preserve">SO-10372</t>
  </si>
  <si>
    <t xml:space="preserve">SO-10359</t>
  </si>
  <si>
    <t xml:space="preserve">SO-10369</t>
  </si>
  <si>
    <t xml:space="preserve">SO-10376</t>
  </si>
  <si>
    <t xml:space="preserve">SO-10382</t>
  </si>
  <si>
    <t xml:space="preserve">SO-10377</t>
  </si>
  <si>
    <t xml:space="preserve">SO-10340</t>
  </si>
  <si>
    <t xml:space="preserve">SO-10347</t>
  </si>
  <si>
    <t xml:space="preserve">SO-10349</t>
  </si>
  <si>
    <t xml:space="preserve">SO-10351</t>
  </si>
  <si>
    <t xml:space="preserve">SO-10380</t>
  </si>
  <si>
    <t xml:space="preserve">SO-10383</t>
  </si>
  <si>
    <t xml:space="preserve">SO-10384</t>
  </si>
  <si>
    <t xml:space="preserve">SO-10367</t>
  </si>
  <si>
    <t xml:space="preserve">SO-10370</t>
  </si>
  <si>
    <t xml:space="preserve">SO-10378</t>
  </si>
  <si>
    <t xml:space="preserve">SO-10381</t>
  </si>
  <si>
    <t xml:space="preserve">SO-10375</t>
  </si>
  <si>
    <t xml:space="preserve">SO-10350</t>
  </si>
  <si>
    <t xml:space="preserve">SO-10355</t>
  </si>
  <si>
    <t xml:space="preserve">SO-10352</t>
  </si>
  <si>
    <t xml:space="preserve">SO-10386</t>
  </si>
  <si>
    <t xml:space="preserve">SO-10344</t>
  </si>
  <si>
    <t xml:space="preserve">SO-10354</t>
  </si>
  <si>
    <t xml:space="preserve">SO-10363</t>
  </si>
  <si>
    <t xml:space="preserve">SO-10338</t>
  </si>
  <si>
    <t xml:space="preserve">SO-10342</t>
  </si>
  <si>
    <t xml:space="preserve">SO-10346</t>
  </si>
  <si>
    <t xml:space="preserve">SO-10371</t>
  </si>
  <si>
    <t xml:space="preserve">SO-10402</t>
  </si>
  <si>
    <t xml:space="preserve">SO-10395</t>
  </si>
  <si>
    <t xml:space="preserve">SO-10432</t>
  </si>
  <si>
    <t xml:space="preserve">SO-10390</t>
  </si>
  <si>
    <t xml:space="preserve">SO-10394</t>
  </si>
  <si>
    <t xml:space="preserve">SO-10428</t>
  </si>
  <si>
    <t xml:space="preserve">SO-10414</t>
  </si>
  <si>
    <t xml:space="preserve">SO-10405</t>
  </si>
  <si>
    <t xml:space="preserve">SO-10418</t>
  </si>
  <si>
    <t xml:space="preserve">SO-10393</t>
  </si>
  <si>
    <t xml:space="preserve">SO-10433</t>
  </si>
  <si>
    <t xml:space="preserve">SO-10437</t>
  </si>
  <si>
    <t xml:space="preserve">SO-10411</t>
  </si>
  <si>
    <t xml:space="preserve">SO-10403</t>
  </si>
  <si>
    <t xml:space="preserve">SO-10438</t>
  </si>
  <si>
    <t xml:space="preserve">SO-10398</t>
  </si>
  <si>
    <t xml:space="preserve">SO-10409</t>
  </si>
  <si>
    <t xml:space="preserve">SO-10392</t>
  </si>
  <si>
    <t xml:space="preserve">SO-10408</t>
  </si>
  <si>
    <t xml:space="preserve">SO-10424</t>
  </si>
  <si>
    <t xml:space="preserve">SO-10410</t>
  </si>
  <si>
    <t xml:space="preserve">SO-10412</t>
  </si>
  <si>
    <t xml:space="preserve">SO-10430</t>
  </si>
  <si>
    <t xml:space="preserve">SO-10431</t>
  </si>
  <si>
    <t xml:space="preserve">SO-10435</t>
  </si>
  <si>
    <t xml:space="preserve">SO-10389</t>
  </si>
  <si>
    <t xml:space="preserve">SO-10425</t>
  </si>
  <si>
    <t xml:space="preserve">SO-10420</t>
  </si>
  <si>
    <t xml:space="preserve">SO-10421</t>
  </si>
  <si>
    <t xml:space="preserve">SO-10436</t>
  </si>
  <si>
    <t xml:space="preserve">SO-10399</t>
  </si>
  <si>
    <t xml:space="preserve">SO-10439</t>
  </si>
  <si>
    <t xml:space="preserve">SO-10417</t>
  </si>
  <si>
    <t xml:space="preserve">SO-10407</t>
  </si>
  <si>
    <t xml:space="preserve">SO-10434</t>
  </si>
  <si>
    <t xml:space="preserve">SO-10397</t>
  </si>
  <si>
    <t xml:space="preserve">SO-10413</t>
  </si>
  <si>
    <t xml:space="preserve">SO-10396</t>
  </si>
  <si>
    <t xml:space="preserve">SO-10416</t>
  </si>
  <si>
    <t xml:space="preserve">SO-10419</t>
  </si>
  <si>
    <t xml:space="preserve">SO-10422</t>
  </si>
  <si>
    <t xml:space="preserve">SO-10388</t>
  </si>
  <si>
    <t xml:space="preserve">SO-10415</t>
  </si>
  <si>
    <t xml:space="preserve">SO-10406</t>
  </si>
  <si>
    <t xml:space="preserve">SO-10429</t>
  </si>
  <si>
    <t xml:space="preserve">SO-10391</t>
  </si>
  <si>
    <t xml:space="preserve">SO-10426</t>
  </si>
  <si>
    <t xml:space="preserve">SO-10401</t>
  </si>
  <si>
    <t xml:space="preserve">SO-10400</t>
  </si>
  <si>
    <t xml:space="preserve">SO-10423</t>
  </si>
  <si>
    <t xml:space="preserve">SO-10404</t>
  </si>
  <si>
    <t xml:space="preserve">SO-10427</t>
  </si>
  <si>
    <t xml:space="preserve">SO-10448</t>
  </si>
  <si>
    <t xml:space="preserve">SO-10454</t>
  </si>
  <si>
    <t xml:space="preserve">SO-10464</t>
  </si>
  <si>
    <t xml:space="preserve">SO-10488</t>
  </si>
  <si>
    <t xml:space="preserve">SO-10443</t>
  </si>
  <si>
    <t xml:space="preserve">SO-10462</t>
  </si>
  <si>
    <t xml:space="preserve">SO-10473</t>
  </si>
  <si>
    <t xml:space="preserve">SO-10478</t>
  </si>
  <si>
    <t xml:space="preserve">SO-10452</t>
  </si>
  <si>
    <t xml:space="preserve">SO-10465</t>
  </si>
  <si>
    <t xml:space="preserve">SO-10485</t>
  </si>
  <si>
    <t xml:space="preserve">SO-10501</t>
  </si>
  <si>
    <t xml:space="preserve">SO-10455</t>
  </si>
  <si>
    <t xml:space="preserve">SO-10458</t>
  </si>
  <si>
    <t xml:space="preserve">SO-10474</t>
  </si>
  <si>
    <t xml:space="preserve">SO-10482</t>
  </si>
  <si>
    <t xml:space="preserve">SO-10447</t>
  </si>
  <si>
    <t xml:space="preserve">SO-10444</t>
  </si>
  <si>
    <t xml:space="preserve">SO-10449</t>
  </si>
  <si>
    <t xml:space="preserve">SO-10481</t>
  </si>
  <si>
    <t xml:space="preserve">SO-10446</t>
  </si>
  <si>
    <t xml:space="preserve">SO-10451</t>
  </si>
  <si>
    <t xml:space="preserve">SO-10466</t>
  </si>
  <si>
    <t xml:space="preserve">SO-10492</t>
  </si>
  <si>
    <t xml:space="preserve">SO-10493</t>
  </si>
  <si>
    <t xml:space="preserve">SO-10494</t>
  </si>
  <si>
    <t xml:space="preserve">SO-10441</t>
  </si>
  <si>
    <t xml:space="preserve">SO-10496</t>
  </si>
  <si>
    <t xml:space="preserve">SO-10497</t>
  </si>
  <si>
    <t xml:space="preserve">SO-10498</t>
  </si>
  <si>
    <t xml:space="preserve">SO-10499</t>
  </si>
  <si>
    <t xml:space="preserve">SO-10500</t>
  </si>
  <si>
    <t xml:space="preserve">SO-10453</t>
  </si>
  <si>
    <t xml:space="preserve">SO-10486</t>
  </si>
  <si>
    <t xml:space="preserve">SO-10469</t>
  </si>
  <si>
    <t xml:space="preserve">SO-10477</t>
  </si>
  <si>
    <t xml:space="preserve">SO-10460</t>
  </si>
  <si>
    <t xml:space="preserve">SO-10487</t>
  </si>
  <si>
    <t xml:space="preserve">SO-10457</t>
  </si>
  <si>
    <t xml:space="preserve">SO-10495</t>
  </si>
  <si>
    <t xml:space="preserve">SO-10456</t>
  </si>
  <si>
    <t xml:space="preserve">SO-10472</t>
  </si>
  <si>
    <t xml:space="preserve">SO-10463</t>
  </si>
  <si>
    <t xml:space="preserve">SO-10467</t>
  </si>
  <si>
    <t xml:space="preserve">SO-10476</t>
  </si>
  <si>
    <t xml:space="preserve">SO-10479</t>
  </si>
  <si>
    <t xml:space="preserve">SO-10470</t>
  </si>
  <si>
    <t xml:space="preserve">SO-10480</t>
  </si>
  <si>
    <t xml:space="preserve">SO-10468</t>
  </si>
  <si>
    <t xml:space="preserve">SO-10491</t>
  </si>
  <si>
    <t xml:space="preserve">SO-10461</t>
  </si>
  <si>
    <t xml:space="preserve">SO-10483</t>
  </si>
  <si>
    <t xml:space="preserve">SO-10484</t>
  </si>
  <si>
    <t xml:space="preserve">SO-10450</t>
  </si>
  <si>
    <t xml:space="preserve">SO-10475</t>
  </si>
  <si>
    <t xml:space="preserve">SO-10490</t>
  </si>
  <si>
    <t xml:space="preserve">SO-10440</t>
  </si>
  <si>
    <t xml:space="preserve">SO-10459</t>
  </si>
  <si>
    <t xml:space="preserve">SO-10442</t>
  </si>
  <si>
    <t xml:space="preserve">SO-10445</t>
  </si>
  <si>
    <t xml:space="preserve">SO-10471</t>
  </si>
  <si>
    <t xml:space="preserve">SO-10489</t>
  </si>
  <si>
    <t xml:space="preserve">SO-10564</t>
  </si>
  <si>
    <t xml:space="preserve">SO-10536</t>
  </si>
  <si>
    <t xml:space="preserve">SO-10517</t>
  </si>
  <si>
    <t xml:space="preserve">SO-10560</t>
  </si>
  <si>
    <t xml:space="preserve">SO-10566</t>
  </si>
  <si>
    <t xml:space="preserve">SO-10568</t>
  </si>
  <si>
    <t xml:space="preserve">SO-10513</t>
  </si>
  <si>
    <t xml:space="preserve">SO-10516</t>
  </si>
  <si>
    <t xml:space="preserve">SO-10557</t>
  </si>
  <si>
    <t xml:space="preserve">SO-10533</t>
  </si>
  <si>
    <t xml:space="preserve">SO-10547</t>
  </si>
  <si>
    <t xml:space="preserve">SO-10567</t>
  </si>
  <si>
    <t xml:space="preserve">SO-10535</t>
  </si>
  <si>
    <t xml:space="preserve">SO-10558</t>
  </si>
  <si>
    <t xml:space="preserve">SO-10511</t>
  </si>
  <si>
    <t xml:space="preserve">SO-10528</t>
  </si>
  <si>
    <t xml:space="preserve">SO-10505</t>
  </si>
  <si>
    <t xml:space="preserve">SO-10523</t>
  </si>
  <si>
    <t xml:space="preserve">SO-10541</t>
  </si>
  <si>
    <t xml:space="preserve">SO-10524</t>
  </si>
  <si>
    <t xml:space="preserve">SO-10555</t>
  </si>
  <si>
    <t xml:space="preserve">SO-10526</t>
  </si>
  <si>
    <t xml:space="preserve">SO-10569</t>
  </si>
  <si>
    <t xml:space="preserve">SO-10550</t>
  </si>
  <si>
    <t xml:space="preserve">SO-10561</t>
  </si>
  <si>
    <t xml:space="preserve">SO-10530</t>
  </si>
  <si>
    <t xml:space="preserve">SO-10554</t>
  </si>
  <si>
    <t xml:space="preserve">SO-10506</t>
  </si>
  <si>
    <t xml:space="preserve">SO-10520</t>
  </si>
  <si>
    <t xml:space="preserve">SO-10531</t>
  </si>
  <si>
    <t xml:space="preserve">SO-10552</t>
  </si>
  <si>
    <t xml:space="preserve">SO-10563</t>
  </si>
  <si>
    <t xml:space="preserve">SO-10519</t>
  </si>
  <si>
    <t xml:space="preserve">SO-10525</t>
  </si>
  <si>
    <t xml:space="preserve">SO-10529</t>
  </si>
  <si>
    <t xml:space="preserve">SO-10551</t>
  </si>
  <si>
    <t xml:space="preserve">SO-10522</t>
  </si>
  <si>
    <t xml:space="preserve">SO-10538</t>
  </si>
  <si>
    <t xml:space="preserve">SO-10545</t>
  </si>
  <si>
    <t xml:space="preserve">SO-10527</t>
  </si>
  <si>
    <t xml:space="preserve">SO-10532</t>
  </si>
  <si>
    <t xml:space="preserve">SO-10544</t>
  </si>
  <si>
    <t xml:space="preserve">SO-10570</t>
  </si>
  <si>
    <t xml:space="preserve">SO-10509</t>
  </si>
  <si>
    <t xml:space="preserve">SO-10521</t>
  </si>
  <si>
    <t xml:space="preserve">SO-10553</t>
  </si>
  <si>
    <t xml:space="preserve">SO-10562</t>
  </si>
  <si>
    <t xml:space="preserve">SO-10504</t>
  </si>
  <si>
    <t xml:space="preserve">SO-10534</t>
  </si>
  <si>
    <t xml:space="preserve">SO-10556</t>
  </si>
  <si>
    <t xml:space="preserve">SO-10546</t>
  </si>
  <si>
    <t xml:space="preserve">SO-10548</t>
  </si>
  <si>
    <t xml:space="preserve">SO-10565</t>
  </si>
  <si>
    <t xml:space="preserve">SO-10502</t>
  </si>
  <si>
    <t xml:space="preserve">SO-10540</t>
  </si>
  <si>
    <t xml:space="preserve">SO-10508</t>
  </si>
  <si>
    <t xml:space="preserve">SO-10512</t>
  </si>
  <si>
    <t xml:space="preserve">SO-10537</t>
  </si>
  <si>
    <t xml:space="preserve">SO-10539</t>
  </si>
  <si>
    <t xml:space="preserve">SO-10549</t>
  </si>
  <si>
    <t xml:space="preserve">SO-10503</t>
  </si>
  <si>
    <t xml:space="preserve">SO-10507</t>
  </si>
  <si>
    <t xml:space="preserve">SO-10510</t>
  </si>
  <si>
    <t xml:space="preserve">SO-10515</t>
  </si>
  <si>
    <t xml:space="preserve">SO-10543</t>
  </si>
  <si>
    <t xml:space="preserve">SO-10514</t>
  </si>
  <si>
    <t xml:space="preserve">SO-10518</t>
  </si>
  <si>
    <t xml:space="preserve">SO-10542</t>
  </si>
  <si>
    <t xml:space="preserve">SO-10559</t>
  </si>
  <si>
    <t xml:space="preserve">Margin %</t>
  </si>
  <si>
    <t xml:space="preserve">Blue numbers are inputs. Change a price or cost and the whole workbook updates.</t>
  </si>
  <si>
    <t xml:space="preserve">North Target ($)</t>
  </si>
  <si>
    <t xml:space="preserve">South Target ($)</t>
  </si>
  <si>
    <t xml:space="preserve">East Target ($)</t>
  </si>
  <si>
    <t xml:space="preserve">West Target ($)</t>
  </si>
  <si>
    <t xml:space="preserve">All Regions ($)</t>
  </si>
  <si>
    <t xml:space="preserve">Blue numbers are monthly sales targets (inputs).</t>
  </si>
  <si>
    <t xml:space="preserve">Helper sheet for the Top 5 products table. No need to edit.</t>
  </si>
  <si>
    <t xml:space="preserve">Rank Key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</si>
</sst>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#,##0"/>
    <numFmt numFmtId="168" formatCode="0%"/>
    <numFmt numFmtId="169" formatCode="dd\-mmm\-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1"/>
      <color rgb="FF5F6B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6"/>
      <color rgb="FF1B8A7A"/>
      <name val="Arial"/>
      <family val="0"/>
      <charset val="1"/>
    </font>
    <font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A5F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DE7E5"/>
      </patternFill>
    </fill>
    <fill>
      <patternFill patternType="solid">
        <fgColor rgb="FF1F3A5F"/>
        <bgColor rgb="FF333399"/>
      </patternFill>
    </fill>
    <fill>
      <patternFill patternType="solid">
        <fgColor rgb="FFEEF3F8"/>
        <bgColor rgb="FFDDF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0B7A3E"/>
      </font>
      <fill>
        <patternFill>
          <bgColor rgb="FFDDF3E6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7E5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7A3E"/>
      <rgbColor rgb="FF000080"/>
      <rgbColor rgb="FF808000"/>
      <rgbColor rgb="FF800080"/>
      <rgbColor rgb="FF1B8A7A"/>
      <rgbColor rgb="FFD9D9D9"/>
      <rgbColor rgb="FF878787"/>
      <rgbColor rgb="FF9999FF"/>
      <rgbColor rgb="FFBE4B48"/>
      <rgbColor rgb="FFFFF4C2"/>
      <rgbColor rgb="FFDDF3E6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CCFFCC"/>
      <rgbColor rgb="FFFDE7E5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F6B7A"/>
      <rgbColor rgb="FF969696"/>
      <rgbColor rgb="FF1F3A5F"/>
      <rgbColor rgb="FF4F81BD"/>
      <rgbColor rgb="FF003300"/>
      <rgbColor rgb="FF333300"/>
      <rgbColor rgb="FFB42318"/>
      <rgbColor rgb="FFC0504D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Dashboard!$C$13:$C$24</c:f>
              <c:numCache>
                <c:formatCode>\$#,##0</c:formatCode>
                <c:ptCount val="12"/>
                <c:pt idx="0">
                  <c:v>41530</c:v>
                </c:pt>
                <c:pt idx="1">
                  <c:v>30435</c:v>
                </c:pt>
                <c:pt idx="2">
                  <c:v>40060</c:v>
                </c:pt>
                <c:pt idx="3">
                  <c:v>44775</c:v>
                </c:pt>
                <c:pt idx="4">
                  <c:v>47200</c:v>
                </c:pt>
                <c:pt idx="5">
                  <c:v>48385</c:v>
                </c:pt>
                <c:pt idx="6">
                  <c:v>55555</c:v>
                </c:pt>
                <c:pt idx="7">
                  <c:v>61010</c:v>
                </c:pt>
                <c:pt idx="8">
                  <c:v>61760</c:v>
                </c:pt>
                <c:pt idx="9">
                  <c:v>55420</c:v>
                </c:pt>
                <c:pt idx="10">
                  <c:v>80890</c:v>
                </c:pt>
                <c:pt idx="11">
                  <c:v>64460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Dashboard!E12</c:f>
              <c:strCache>
                <c:ptCount val="1"/>
                <c:pt idx="0">
                  <c:v>Target ($)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Dashboard!$E$13:$E$24</c:f>
              <c:numCache>
                <c:formatCode>\$#,##0</c:formatCode>
                <c:ptCount val="12"/>
                <c:pt idx="0">
                  <c:v>42000</c:v>
                </c:pt>
                <c:pt idx="1">
                  <c:v>40000</c:v>
                </c:pt>
                <c:pt idx="2">
                  <c:v>47500</c:v>
                </c:pt>
                <c:pt idx="3">
                  <c:v>50000</c:v>
                </c:pt>
                <c:pt idx="4">
                  <c:v>52500</c:v>
                </c:pt>
                <c:pt idx="5">
                  <c:v>52500</c:v>
                </c:pt>
                <c:pt idx="6">
                  <c:v>50000</c:v>
                </c:pt>
                <c:pt idx="7">
                  <c:v>55500</c:v>
                </c:pt>
                <c:pt idx="8">
                  <c:v>57500</c:v>
                </c:pt>
                <c:pt idx="9">
                  <c:v>60500</c:v>
                </c:pt>
                <c:pt idx="10">
                  <c:v>71500</c:v>
                </c:pt>
                <c:pt idx="11">
                  <c:v>80000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967410"/>
        <c:axId val="73881300"/>
      </c:lineChart>
      <c:catAx>
        <c:axId val="139674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81300"/>
        <c:crosses val="autoZero"/>
        <c:auto val="1"/>
        <c:lblAlgn val="ctr"/>
        <c:lblOffset val="100"/>
        <c:noMultiLvlLbl val="0"/>
      </c:catAx>
      <c:valAx>
        <c:axId val="73881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674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Dashboard!I12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Dashboard!$H$13:$H$16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Dashboard!$I$13:$I$16</c:f>
              <c:numCache>
                <c:formatCode>\$#,##0</c:formatCode>
                <c:ptCount val="4"/>
                <c:pt idx="0">
                  <c:v>123980</c:v>
                </c:pt>
                <c:pt idx="1">
                  <c:v>154550</c:v>
                </c:pt>
                <c:pt idx="2">
                  <c:v>167040</c:v>
                </c:pt>
                <c:pt idx="3">
                  <c:v>185910</c:v>
                </c:pt>
              </c:numCache>
            </c:numRef>
          </c:val>
        </c:ser>
        <c:ser>
          <c:idx val="1"/>
          <c:order val="1"/>
          <c:tx>
            <c:strRef>
              <c:f>Dashboard!J12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Dashboard!$H$13:$H$16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Dashboard!$J$13:$J$16</c:f>
              <c:numCache>
                <c:formatCode>\$#,##0</c:formatCode>
                <c:ptCount val="4"/>
                <c:pt idx="0">
                  <c:v>37300</c:v>
                </c:pt>
                <c:pt idx="1">
                  <c:v>49204</c:v>
                </c:pt>
                <c:pt idx="2">
                  <c:v>54736</c:v>
                </c:pt>
                <c:pt idx="3">
                  <c:v>58493</c:v>
                </c:pt>
              </c:numCache>
            </c:numRef>
          </c:val>
        </c:ser>
        <c:gapWidth val="150"/>
        <c:overlap val="0"/>
        <c:axId val="25108203"/>
        <c:axId val="12532916"/>
      </c:barChart>
      <c:catAx>
        <c:axId val="251082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32916"/>
        <c:crosses val="autoZero"/>
        <c:auto val="1"/>
        <c:lblAlgn val="ctr"/>
        <c:lblOffset val="100"/>
        <c:noMultiLvlLbl val="0"/>
      </c:catAx>
      <c:valAx>
        <c:axId val="12532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082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Dashboard!I18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Dashboard!$H$19:$H$23</c:f>
              <c:strCache>
                <c:ptCount val="5"/>
                <c:pt idx="0">
                  <c:v>Laptops</c:v>
                </c:pt>
                <c:pt idx="1">
                  <c:v>Phones</c:v>
                </c:pt>
                <c:pt idx="2">
                  <c:v>Tablets</c:v>
                </c:pt>
                <c:pt idx="3">
                  <c:v>Monitors</c:v>
                </c:pt>
                <c:pt idx="4">
                  <c:v>Accessories</c:v>
                </c:pt>
              </c:strCache>
            </c:strRef>
          </c:cat>
          <c:val>
            <c:numRef>
              <c:f>Dashboard!$I$19:$I$23</c:f>
              <c:numCache>
                <c:formatCode>\$#,##0</c:formatCode>
                <c:ptCount val="5"/>
                <c:pt idx="0">
                  <c:v>266630</c:v>
                </c:pt>
                <c:pt idx="1">
                  <c:v>106400</c:v>
                </c:pt>
                <c:pt idx="2">
                  <c:v>53720</c:v>
                </c:pt>
                <c:pt idx="3">
                  <c:v>40630</c:v>
                </c:pt>
                <c:pt idx="4">
                  <c:v>164100</c:v>
                </c:pt>
              </c:numCache>
            </c:numRef>
          </c:val>
        </c:ser>
        <c:gapWidth val="150"/>
        <c:overlap val="0"/>
        <c:axId val="52323519"/>
        <c:axId val="17884596"/>
      </c:barChart>
      <c:catAx>
        <c:axId val="52323519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84596"/>
        <c:crosses val="autoZero"/>
        <c:auto val="1"/>
        <c:lblAlgn val="ctr"/>
        <c:lblOffset val="100"/>
        <c:noMultiLvlLbl val="0"/>
      </c:catAx>
      <c:valAx>
        <c:axId val="17884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235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100800</xdr:rowOff>
    </xdr:from>
    <xdr:to>
      <xdr:col>7</xdr:col>
      <xdr:colOff>11520</xdr:colOff>
      <xdr:row>40</xdr:row>
      <xdr:rowOff>133560</xdr:rowOff>
    </xdr:to>
    <xdr:graphicFrame>
      <xdr:nvGraphicFramePr>
        <xdr:cNvPr id="0" name="Chart 1"/>
        <xdr:cNvGraphicFramePr/>
      </xdr:nvGraphicFramePr>
      <xdr:xfrm>
        <a:off x="141120" y="538164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26</xdr:row>
      <xdr:rowOff>100800</xdr:rowOff>
    </xdr:from>
    <xdr:to>
      <xdr:col>10</xdr:col>
      <xdr:colOff>756360</xdr:colOff>
      <xdr:row>40</xdr:row>
      <xdr:rowOff>133560</xdr:rowOff>
    </xdr:to>
    <xdr:graphicFrame>
      <xdr:nvGraphicFramePr>
        <xdr:cNvPr id="1" name="Chart 2"/>
        <xdr:cNvGraphicFramePr/>
      </xdr:nvGraphicFramePr>
      <xdr:xfrm>
        <a:off x="5709240" y="5381640"/>
        <a:ext cx="41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26</xdr:row>
      <xdr:rowOff>100800</xdr:rowOff>
    </xdr:from>
    <xdr:to>
      <xdr:col>16</xdr:col>
      <xdr:colOff>128520</xdr:colOff>
      <xdr:row>40</xdr:row>
      <xdr:rowOff>133560</xdr:rowOff>
    </xdr:to>
    <xdr:graphicFrame>
      <xdr:nvGraphicFramePr>
        <xdr:cNvPr id="2" name="Chart 3"/>
        <xdr:cNvGraphicFramePr/>
      </xdr:nvGraphicFramePr>
      <xdr:xfrm>
        <a:off x="10149840" y="538164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6" min="3" style="0" width="15"/>
    <col collapsed="false" customWidth="true" hidden="false" outlineLevel="0" max="7" min="7" style="0" width="3"/>
    <col collapsed="false" customWidth="true" hidden="false" outlineLevel="0" max="8" min="8" style="0" width="18"/>
    <col collapsed="false" customWidth="true" hidden="false" outlineLevel="0" max="11" min="9" style="0" width="15"/>
    <col collapsed="false" customWidth="true" hidden="false" outlineLevel="0" max="12" min="12" style="0" width="20"/>
    <col collapsed="false" customWidth="true" hidden="false" outlineLevel="0" max="13" min="13" style="0" width="15"/>
    <col collapsed="false" customWidth="true" hidden="false" outlineLevel="0" max="14" min="14" style="0" width="2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8" customFormat="false" ht="15" hidden="false" customHeight="false" outlineLevel="0" collapsed="false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H8" s="6" t="s">
        <v>9</v>
      </c>
    </row>
    <row r="9" customFormat="false" ht="33.75" hidden="false" customHeight="true" outlineLevel="0" collapsed="false">
      <c r="B9" s="7" t="n">
        <f aca="false">SUMPRODUCT((((Dashboard!$C$5="All")+('Sales Data'!$D$2:$D$571=Dashboard!$C$5))&gt;0)*'Sales Data'!$J$2:$J$571)</f>
        <v>631480</v>
      </c>
      <c r="C9" s="7" t="n">
        <f aca="false">SUMPRODUCT((((Dashboard!$C$5="All")+('Sales Data'!$D$2:$D$571=Dashboard!$C$5))&gt;0)*'Sales Data'!$M$2:$M$571)</f>
        <v>199733</v>
      </c>
      <c r="D9" s="8" t="n">
        <f aca="false">IFERROR(C9/B9,0)</f>
        <v>0.316293469310192</v>
      </c>
      <c r="E9" s="9" t="n">
        <f aca="false">SUMPRODUCT(--(((Dashboard!$C$5="All")+('Sales Data'!$D$2:$D$571=Dashboard!$C$5))&gt;0))</f>
        <v>570</v>
      </c>
      <c r="F9" s="7" t="n">
        <f aca="false">IFERROR(B9/E9,0)</f>
        <v>1107.85964912281</v>
      </c>
      <c r="H9" s="10" t="n">
        <f aca="false">IFERROR(B9/IF($C$5="All",SUM(Targets!$F$2:$F$13),SUMPRODUCT((Targets!$B$1:$E$1=$C$5&amp;" Target ($)")*Targets!$B$2:$E$13)),0)</f>
        <v>0.95751326762699</v>
      </c>
    </row>
    <row r="12" customFormat="false" ht="15" hidden="false" customHeight="false" outlineLevel="0" collapsed="false"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H12" s="6" t="s">
        <v>2</v>
      </c>
      <c r="I12" s="6" t="s">
        <v>11</v>
      </c>
      <c r="J12" s="6" t="s">
        <v>12</v>
      </c>
      <c r="L12" s="6" t="s">
        <v>15</v>
      </c>
      <c r="M12" s="6" t="s">
        <v>11</v>
      </c>
    </row>
    <row r="13" customFormat="false" ht="15" hidden="false" customHeight="false" outlineLevel="0" collapsed="false">
      <c r="B13" s="11" t="s">
        <v>16</v>
      </c>
      <c r="C13" s="12" t="n">
        <f aca="false">SUMPRODUCT(('Sales Data'!$C$2:$C$571=1)*(((Dashboard!$C$5="All")+('Sales Data'!$D$2:$D$571=Dashboard!$C$5))&gt;0)*'Sales Data'!$J$2:$J$571)</f>
        <v>41530</v>
      </c>
      <c r="D13" s="12" t="n">
        <f aca="false">SUMPRODUCT(('Sales Data'!$C$2:$C$571=1)*(((Dashboard!$C$5="All")+('Sales Data'!$D$2:$D$571=Dashboard!$C$5))&gt;0)*'Sales Data'!$M$2:$M$571)</f>
        <v>12310</v>
      </c>
      <c r="E13" s="12" t="n">
        <f aca="false">IF($C$5="All",Targets!$F$2,INDEX(Targets!$B$2:$E$2,MATCH($C$5&amp;" Target ($)",Targets!$B$1:$E$1,0)))</f>
        <v>42000</v>
      </c>
      <c r="F13" s="13" t="n">
        <f aca="false">IFERROR(C13/E13,0)</f>
        <v>0.988809523809524</v>
      </c>
      <c r="H13" s="14" t="s">
        <v>17</v>
      </c>
      <c r="I13" s="15" t="n">
        <f aca="false">SUMIFS('Sales Data'!$J$2:$J$571,'Sales Data'!$D$2:$D$571,H13)</f>
        <v>123980</v>
      </c>
      <c r="J13" s="15" t="n">
        <f aca="false">SUMIFS('Sales Data'!$M$2:$M$571,'Sales Data'!$D$2:$D$571,H13)</f>
        <v>37300</v>
      </c>
      <c r="L13" s="14" t="str">
        <f aca="false">INDEX(Calc!$A$3:$A$14,MATCH(LARGE(Calc!$C$3:$C$14,1),Calc!$C$3:$C$14,0))</f>
        <v>Laptop Pro 14</v>
      </c>
      <c r="M13" s="15" t="n">
        <f aca="false">INDEX(Calc!$B$3:$B$14,MATCH(LARGE(Calc!$C$3:$C$14,1),Calc!$C$3:$C$14,0))</f>
        <v>100700</v>
      </c>
    </row>
    <row r="14" customFormat="false" ht="15" hidden="false" customHeight="false" outlineLevel="0" collapsed="false">
      <c r="B14" s="11" t="s">
        <v>18</v>
      </c>
      <c r="C14" s="12" t="n">
        <f aca="false">SUMPRODUCT(('Sales Data'!$C$2:$C$571=2)*(((Dashboard!$C$5="All")+('Sales Data'!$D$2:$D$571=Dashboard!$C$5))&gt;0)*'Sales Data'!$J$2:$J$571)</f>
        <v>30435</v>
      </c>
      <c r="D14" s="12" t="n">
        <f aca="false">SUMPRODUCT(('Sales Data'!$C$2:$C$571=2)*(((Dashboard!$C$5="All")+('Sales Data'!$D$2:$D$571=Dashboard!$C$5))&gt;0)*'Sales Data'!$M$2:$M$571)</f>
        <v>9361</v>
      </c>
      <c r="E14" s="12" t="n">
        <f aca="false">IF($C$5="All",Targets!$F$3,INDEX(Targets!$B$3:$E$3,MATCH($C$5&amp;" Target ($)",Targets!$B$1:$E$1,0)))</f>
        <v>40000</v>
      </c>
      <c r="F14" s="13" t="n">
        <f aca="false">IFERROR(C14/E14,0)</f>
        <v>0.760875</v>
      </c>
      <c r="H14" s="14" t="s">
        <v>19</v>
      </c>
      <c r="I14" s="15" t="n">
        <f aca="false">SUMIFS('Sales Data'!$J$2:$J$571,'Sales Data'!$D$2:$D$571,H14)</f>
        <v>154550</v>
      </c>
      <c r="J14" s="15" t="n">
        <f aca="false">SUMIFS('Sales Data'!$M$2:$M$571,'Sales Data'!$D$2:$D$571,H14)</f>
        <v>49204</v>
      </c>
      <c r="L14" s="14" t="str">
        <f aca="false">INDEX(Calc!$A$3:$A$14,MATCH(LARGE(Calc!$C$3:$C$14,2),Calc!$C$3:$C$14,0))</f>
        <v>Laptop Air 13</v>
      </c>
      <c r="M14" s="15" t="n">
        <f aca="false">INDEX(Calc!$B$3:$B$14,MATCH(LARGE(Calc!$C$3:$C$14,2),Calc!$C$3:$C$14,0))</f>
        <v>94380</v>
      </c>
    </row>
    <row r="15" customFormat="false" ht="15" hidden="false" customHeight="false" outlineLevel="0" collapsed="false">
      <c r="B15" s="11" t="s">
        <v>20</v>
      </c>
      <c r="C15" s="12" t="n">
        <f aca="false">SUMPRODUCT(('Sales Data'!$C$2:$C$571=3)*(((Dashboard!$C$5="All")+('Sales Data'!$D$2:$D$571=Dashboard!$C$5))&gt;0)*'Sales Data'!$J$2:$J$571)</f>
        <v>40060</v>
      </c>
      <c r="D15" s="12" t="n">
        <f aca="false">SUMPRODUCT(('Sales Data'!$C$2:$C$571=3)*(((Dashboard!$C$5="All")+('Sales Data'!$D$2:$D$571=Dashboard!$C$5))&gt;0)*'Sales Data'!$M$2:$M$571)</f>
        <v>12942</v>
      </c>
      <c r="E15" s="12" t="n">
        <f aca="false">IF($C$5="All",Targets!$F$4,INDEX(Targets!$B$4:$E$4,MATCH($C$5&amp;" Target ($)",Targets!$B$1:$E$1,0)))</f>
        <v>47500</v>
      </c>
      <c r="F15" s="13" t="n">
        <f aca="false">IFERROR(C15/E15,0)</f>
        <v>0.843368421052632</v>
      </c>
      <c r="H15" s="14" t="s">
        <v>21</v>
      </c>
      <c r="I15" s="15" t="n">
        <f aca="false">SUMIFS('Sales Data'!$J$2:$J$571,'Sales Data'!$D$2:$D$571,H15)</f>
        <v>167040</v>
      </c>
      <c r="J15" s="15" t="n">
        <f aca="false">SUMIFS('Sales Data'!$M$2:$M$571,'Sales Data'!$D$2:$D$571,H15)</f>
        <v>54736</v>
      </c>
      <c r="L15" s="14" t="str">
        <f aca="false">INDEX(Calc!$A$3:$A$14,MATCH(LARGE(Calc!$C$3:$C$14,3),Calc!$C$3:$C$14,0))</f>
        <v>Smart Watch</v>
      </c>
      <c r="M15" s="15" t="n">
        <f aca="false">INDEX(Calc!$B$3:$B$14,MATCH(LARGE(Calc!$C$3:$C$14,3),Calc!$C$3:$C$14,0))</f>
        <v>77520</v>
      </c>
    </row>
    <row r="16" customFormat="false" ht="15" hidden="false" customHeight="false" outlineLevel="0" collapsed="false">
      <c r="B16" s="11" t="s">
        <v>22</v>
      </c>
      <c r="C16" s="12" t="n">
        <f aca="false">SUMPRODUCT(('Sales Data'!$C$2:$C$571=4)*(((Dashboard!$C$5="All")+('Sales Data'!$D$2:$D$571=Dashboard!$C$5))&gt;0)*'Sales Data'!$J$2:$J$571)</f>
        <v>44775</v>
      </c>
      <c r="D16" s="12" t="n">
        <f aca="false">SUMPRODUCT(('Sales Data'!$C$2:$C$571=4)*(((Dashboard!$C$5="All")+('Sales Data'!$D$2:$D$571=Dashboard!$C$5))&gt;0)*'Sales Data'!$M$2:$M$571)</f>
        <v>13908</v>
      </c>
      <c r="E16" s="12" t="n">
        <f aca="false">IF($C$5="All",Targets!$F$5,INDEX(Targets!$B$5:$E$5,MATCH($C$5&amp;" Target ($)",Targets!$B$1:$E$1,0)))</f>
        <v>50000</v>
      </c>
      <c r="F16" s="13" t="n">
        <f aca="false">IFERROR(C16/E16,0)</f>
        <v>0.8955</v>
      </c>
      <c r="H16" s="14" t="s">
        <v>23</v>
      </c>
      <c r="I16" s="15" t="n">
        <f aca="false">SUMIFS('Sales Data'!$J$2:$J$571,'Sales Data'!$D$2:$D$571,H16)</f>
        <v>185910</v>
      </c>
      <c r="J16" s="15" t="n">
        <f aca="false">SUMIFS('Sales Data'!$M$2:$M$571,'Sales Data'!$D$2:$D$571,H16)</f>
        <v>58493</v>
      </c>
      <c r="L16" s="14" t="str">
        <f aca="false">INDEX(Calc!$A$3:$A$14,MATCH(LARGE(Calc!$C$3:$C$14,4),Calc!$C$3:$C$14,0))</f>
        <v>Gaming Laptop X</v>
      </c>
      <c r="M16" s="15" t="n">
        <f aca="false">INDEX(Calc!$B$3:$B$14,MATCH(LARGE(Calc!$C$3:$C$14,4),Calc!$C$3:$C$14,0))</f>
        <v>71550</v>
      </c>
    </row>
    <row r="17" customFormat="false" ht="15" hidden="false" customHeight="false" outlineLevel="0" collapsed="false">
      <c r="B17" s="11" t="s">
        <v>24</v>
      </c>
      <c r="C17" s="12" t="n">
        <f aca="false">SUMPRODUCT(('Sales Data'!$C$2:$C$571=5)*(((Dashboard!$C$5="All")+('Sales Data'!$D$2:$D$571=Dashboard!$C$5))&gt;0)*'Sales Data'!$J$2:$J$571)</f>
        <v>47200</v>
      </c>
      <c r="D17" s="12" t="n">
        <f aca="false">SUMPRODUCT(('Sales Data'!$C$2:$C$571=5)*(((Dashboard!$C$5="All")+('Sales Data'!$D$2:$D$571=Dashboard!$C$5))&gt;0)*'Sales Data'!$M$2:$M$571)</f>
        <v>15126</v>
      </c>
      <c r="E17" s="12" t="n">
        <f aca="false">IF($C$5="All",Targets!$F$6,INDEX(Targets!$B$6:$E$6,MATCH($C$5&amp;" Target ($)",Targets!$B$1:$E$1,0)))</f>
        <v>52500</v>
      </c>
      <c r="F17" s="13" t="n">
        <f aca="false">IFERROR(C17/E17,0)</f>
        <v>0.899047619047619</v>
      </c>
      <c r="L17" s="14" t="str">
        <f aca="false">INDEX(Calc!$A$3:$A$14,MATCH(LARGE(Calc!$C$3:$C$14,5),Calc!$C$3:$C$14,0))</f>
        <v>Phone S23</v>
      </c>
      <c r="M17" s="15" t="n">
        <f aca="false">INDEX(Calc!$B$3:$B$14,MATCH(LARGE(Calc!$C$3:$C$14,5),Calc!$C$3:$C$14,0))</f>
        <v>64640</v>
      </c>
    </row>
    <row r="18" customFormat="false" ht="15" hidden="false" customHeight="false" outlineLevel="0" collapsed="false">
      <c r="B18" s="11" t="s">
        <v>25</v>
      </c>
      <c r="C18" s="12" t="n">
        <f aca="false">SUMPRODUCT(('Sales Data'!$C$2:$C$571=6)*(((Dashboard!$C$5="All")+('Sales Data'!$D$2:$D$571=Dashboard!$C$5))&gt;0)*'Sales Data'!$J$2:$J$571)</f>
        <v>48385</v>
      </c>
      <c r="D18" s="12" t="n">
        <f aca="false">SUMPRODUCT(('Sales Data'!$C$2:$C$571=6)*(((Dashboard!$C$5="All")+('Sales Data'!$D$2:$D$571=Dashboard!$C$5))&gt;0)*'Sales Data'!$M$2:$M$571)</f>
        <v>14821</v>
      </c>
      <c r="E18" s="12" t="n">
        <f aca="false">IF($C$5="All",Targets!$F$7,INDEX(Targets!$B$7:$E$7,MATCH($C$5&amp;" Target ($)",Targets!$B$1:$E$1,0)))</f>
        <v>52500</v>
      </c>
      <c r="F18" s="13" t="n">
        <f aca="false">IFERROR(C18/E18,0)</f>
        <v>0.921619047619048</v>
      </c>
      <c r="H18" s="6" t="s">
        <v>26</v>
      </c>
      <c r="I18" s="6" t="s">
        <v>11</v>
      </c>
      <c r="J18" s="6" t="s">
        <v>27</v>
      </c>
    </row>
    <row r="19" customFormat="false" ht="15" hidden="false" customHeight="false" outlineLevel="0" collapsed="false">
      <c r="B19" s="11" t="s">
        <v>28</v>
      </c>
      <c r="C19" s="12" t="n">
        <f aca="false">SUMPRODUCT(('Sales Data'!$C$2:$C$571=7)*(((Dashboard!$C$5="All")+('Sales Data'!$D$2:$D$571=Dashboard!$C$5))&gt;0)*'Sales Data'!$J$2:$J$571)</f>
        <v>55555</v>
      </c>
      <c r="D19" s="12" t="n">
        <f aca="false">SUMPRODUCT(('Sales Data'!$C$2:$C$571=7)*(((Dashboard!$C$5="All")+('Sales Data'!$D$2:$D$571=Dashboard!$C$5))&gt;0)*'Sales Data'!$M$2:$M$571)</f>
        <v>16740</v>
      </c>
      <c r="E19" s="12" t="n">
        <f aca="false">IF($C$5="All",Targets!$F$8,INDEX(Targets!$B$8:$E$8,MATCH($C$5&amp;" Target ($)",Targets!$B$1:$E$1,0)))</f>
        <v>50000</v>
      </c>
      <c r="F19" s="13" t="n">
        <f aca="false">IFERROR(C19/E19,0)</f>
        <v>1.1111</v>
      </c>
      <c r="H19" s="14" t="s">
        <v>29</v>
      </c>
      <c r="I19" s="15" t="n">
        <f aca="false">SUMPRODUCT(('Sales Data'!$G$2:$G$571=H19)*(((Dashboard!$C$5="All")+('Sales Data'!$D$2:$D$571=Dashboard!$C$5))&gt;0)*'Sales Data'!$J$2:$J$571)</f>
        <v>266630</v>
      </c>
      <c r="J19" s="16" t="n">
        <f aca="false">IFERROR(I19/SUM($I$19:$I$23),0)</f>
        <v>0.422230316082853</v>
      </c>
    </row>
    <row r="20" customFormat="false" ht="15" hidden="false" customHeight="false" outlineLevel="0" collapsed="false">
      <c r="B20" s="11" t="s">
        <v>30</v>
      </c>
      <c r="C20" s="12" t="n">
        <f aca="false">SUMPRODUCT(('Sales Data'!$C$2:$C$571=8)*(((Dashboard!$C$5="All")+('Sales Data'!$D$2:$D$571=Dashboard!$C$5))&gt;0)*'Sales Data'!$J$2:$J$571)</f>
        <v>61010</v>
      </c>
      <c r="D20" s="12" t="n">
        <f aca="false">SUMPRODUCT(('Sales Data'!$C$2:$C$571=8)*(((Dashboard!$C$5="All")+('Sales Data'!$D$2:$D$571=Dashboard!$C$5))&gt;0)*'Sales Data'!$M$2:$M$571)</f>
        <v>19445</v>
      </c>
      <c r="E20" s="12" t="n">
        <f aca="false">IF($C$5="All",Targets!$F$9,INDEX(Targets!$B$9:$E$9,MATCH($C$5&amp;" Target ($)",Targets!$B$1:$E$1,0)))</f>
        <v>55500</v>
      </c>
      <c r="F20" s="13" t="n">
        <f aca="false">IFERROR(C20/E20,0)</f>
        <v>1.09927927927928</v>
      </c>
      <c r="H20" s="14" t="s">
        <v>31</v>
      </c>
      <c r="I20" s="15" t="n">
        <f aca="false">SUMPRODUCT(('Sales Data'!$G$2:$G$571=H20)*(((Dashboard!$C$5="All")+('Sales Data'!$D$2:$D$571=Dashboard!$C$5))&gt;0)*'Sales Data'!$J$2:$J$571)</f>
        <v>106400</v>
      </c>
      <c r="J20" s="16" t="n">
        <f aca="false">IFERROR(I20/SUM($I$19:$I$23),0)</f>
        <v>0.168493063913346</v>
      </c>
    </row>
    <row r="21" customFormat="false" ht="15" hidden="false" customHeight="false" outlineLevel="0" collapsed="false">
      <c r="B21" s="11" t="s">
        <v>32</v>
      </c>
      <c r="C21" s="12" t="n">
        <f aca="false">SUMPRODUCT(('Sales Data'!$C$2:$C$571=9)*(((Dashboard!$C$5="All")+('Sales Data'!$D$2:$D$571=Dashboard!$C$5))&gt;0)*'Sales Data'!$J$2:$J$571)</f>
        <v>61760</v>
      </c>
      <c r="D21" s="12" t="n">
        <f aca="false">SUMPRODUCT(('Sales Data'!$C$2:$C$571=9)*(((Dashboard!$C$5="All")+('Sales Data'!$D$2:$D$571=Dashboard!$C$5))&gt;0)*'Sales Data'!$M$2:$M$571)</f>
        <v>19663</v>
      </c>
      <c r="E21" s="12" t="n">
        <f aca="false">IF($C$5="All",Targets!$F$10,INDEX(Targets!$B$10:$E$10,MATCH($C$5&amp;" Target ($)",Targets!$B$1:$E$1,0)))</f>
        <v>57500</v>
      </c>
      <c r="F21" s="13" t="n">
        <f aca="false">IFERROR(C21/E21,0)</f>
        <v>1.07408695652174</v>
      </c>
      <c r="H21" s="14" t="s">
        <v>33</v>
      </c>
      <c r="I21" s="15" t="n">
        <f aca="false">SUMPRODUCT(('Sales Data'!$G$2:$G$571=H21)*(((Dashboard!$C$5="All")+('Sales Data'!$D$2:$D$571=Dashboard!$C$5))&gt;0)*'Sales Data'!$J$2:$J$571)</f>
        <v>53720</v>
      </c>
      <c r="J21" s="16" t="n">
        <f aca="false">IFERROR(I21/SUM($I$19:$I$23),0)</f>
        <v>0.0850699942991069</v>
      </c>
    </row>
    <row r="22" customFormat="false" ht="15" hidden="false" customHeight="false" outlineLevel="0" collapsed="false">
      <c r="B22" s="11" t="s">
        <v>34</v>
      </c>
      <c r="C22" s="12" t="n">
        <f aca="false">SUMPRODUCT(('Sales Data'!$C$2:$C$571=10)*(((Dashboard!$C$5="All")+('Sales Data'!$D$2:$D$571=Dashboard!$C$5))&gt;0)*'Sales Data'!$J$2:$J$571)</f>
        <v>55420</v>
      </c>
      <c r="D22" s="12" t="n">
        <f aca="false">SUMPRODUCT(('Sales Data'!$C$2:$C$571=10)*(((Dashboard!$C$5="All")+('Sales Data'!$D$2:$D$571=Dashboard!$C$5))&gt;0)*'Sales Data'!$M$2:$M$571)</f>
        <v>17573</v>
      </c>
      <c r="E22" s="12" t="n">
        <f aca="false">IF($C$5="All",Targets!$F$11,INDEX(Targets!$B$11:$E$11,MATCH($C$5&amp;" Target ($)",Targets!$B$1:$E$1,0)))</f>
        <v>60500</v>
      </c>
      <c r="F22" s="13" t="n">
        <f aca="false">IFERROR(C22/E22,0)</f>
        <v>0.91603305785124</v>
      </c>
      <c r="H22" s="14" t="s">
        <v>35</v>
      </c>
      <c r="I22" s="15" t="n">
        <f aca="false">SUMPRODUCT(('Sales Data'!$G$2:$G$571=H22)*(((Dashboard!$C$5="All")+('Sales Data'!$D$2:$D$571=Dashboard!$C$5))&gt;0)*'Sales Data'!$J$2:$J$571)</f>
        <v>40630</v>
      </c>
      <c r="J22" s="16" t="n">
        <f aca="false">IFERROR(I22/SUM($I$19:$I$23),0)</f>
        <v>0.0643409134097675</v>
      </c>
    </row>
    <row r="23" customFormat="false" ht="15" hidden="false" customHeight="false" outlineLevel="0" collapsed="false">
      <c r="B23" s="11" t="s">
        <v>36</v>
      </c>
      <c r="C23" s="12" t="n">
        <f aca="false">SUMPRODUCT(('Sales Data'!$C$2:$C$571=11)*(((Dashboard!$C$5="All")+('Sales Data'!$D$2:$D$571=Dashboard!$C$5))&gt;0)*'Sales Data'!$J$2:$J$571)</f>
        <v>80890</v>
      </c>
      <c r="D23" s="12" t="n">
        <f aca="false">SUMPRODUCT(('Sales Data'!$C$2:$C$571=11)*(((Dashboard!$C$5="All")+('Sales Data'!$D$2:$D$571=Dashboard!$C$5))&gt;0)*'Sales Data'!$M$2:$M$571)</f>
        <v>25173</v>
      </c>
      <c r="E23" s="12" t="n">
        <f aca="false">IF($C$5="All",Targets!$F$12,INDEX(Targets!$B$12:$E$12,MATCH($C$5&amp;" Target ($)",Targets!$B$1:$E$1,0)))</f>
        <v>71500</v>
      </c>
      <c r="F23" s="13" t="n">
        <f aca="false">IFERROR(C23/E23,0)</f>
        <v>1.13132867132867</v>
      </c>
      <c r="H23" s="14" t="s">
        <v>37</v>
      </c>
      <c r="I23" s="15" t="n">
        <f aca="false">SUMPRODUCT(('Sales Data'!$G$2:$G$571=H23)*(((Dashboard!$C$5="All")+('Sales Data'!$D$2:$D$571=Dashboard!$C$5))&gt;0)*'Sales Data'!$J$2:$J$571)</f>
        <v>164100</v>
      </c>
      <c r="J23" s="16" t="n">
        <f aca="false">IFERROR(I23/SUM($I$19:$I$23),0)</f>
        <v>0.259865712294926</v>
      </c>
    </row>
    <row r="24" customFormat="false" ht="15" hidden="false" customHeight="false" outlineLevel="0" collapsed="false">
      <c r="B24" s="11" t="s">
        <v>38</v>
      </c>
      <c r="C24" s="12" t="n">
        <f aca="false">SUMPRODUCT(('Sales Data'!$C$2:$C$571=12)*(((Dashboard!$C$5="All")+('Sales Data'!$D$2:$D$571=Dashboard!$C$5))&gt;0)*'Sales Data'!$J$2:$J$571)</f>
        <v>64460</v>
      </c>
      <c r="D24" s="12" t="n">
        <f aca="false">SUMPRODUCT(('Sales Data'!$C$2:$C$571=12)*(((Dashboard!$C$5="All")+('Sales Data'!$D$2:$D$571=Dashboard!$C$5))&gt;0)*'Sales Data'!$M$2:$M$571)</f>
        <v>22671</v>
      </c>
      <c r="E24" s="12" t="n">
        <f aca="false">IF($C$5="All",Targets!$F$13,INDEX(Targets!$B$13:$E$13,MATCH($C$5&amp;" Target ($)",Targets!$B$1:$E$1,0)))</f>
        <v>80000</v>
      </c>
      <c r="F24" s="13" t="n">
        <f aca="false">IFERROR(C24/E24,0)</f>
        <v>0.80575</v>
      </c>
    </row>
    <row r="25" customFormat="false" ht="15" hidden="false" customHeight="false" outlineLevel="0" collapsed="false">
      <c r="B25" s="17" t="s">
        <v>39</v>
      </c>
      <c r="C25" s="18" t="n">
        <f aca="false">SUM(C13:C24)</f>
        <v>631480</v>
      </c>
      <c r="D25" s="18" t="n">
        <f aca="false">SUM(D13:D24)</f>
        <v>199733</v>
      </c>
      <c r="E25" s="18" t="n">
        <f aca="false">SUM(E13:E24)</f>
        <v>659500</v>
      </c>
      <c r="F25" s="19" t="n">
        <f aca="false">IFERROR(C25/E25,0)</f>
        <v>0.95751326762699</v>
      </c>
    </row>
  </sheetData>
  <mergeCells count="1">
    <mergeCell ref="B2:M2"/>
  </mergeCells>
  <conditionalFormatting sqref="F13:F24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0.9</formula>
    </cfRule>
  </conditionalFormatting>
  <conditionalFormatting sqref="I13:I16">
    <cfRule type="dataBar" priority="4">
      <dataBar showValue="1" minLength="10" maxLength="90">
        <cfvo type="num" val="0"/>
        <cfvo type="max" val="0"/>
        <color rgb="FF5B8DEF"/>
      </dataBar>
      <extLst>
        <ext xmlns:x14="http://schemas.microsoft.com/office/spreadsheetml/2009/9/main" uri="{B025F937-C7B1-47D3-B67F-A62EFF666E3E}">
          <x14:id>{78CE15C0-A8DE-4AE4-891F-FE803FE81C7D}</x14:id>
        </ext>
      </extLst>
    </cfRule>
  </conditionalFormatting>
  <dataValidations count="1">
    <dataValidation allowBlank="false" errorStyle="stop" operator="between" showDropDown="false" showErrorMessage="false" showInputMessage="false" sqref="C5" type="list">
      <formula1>"All,North,South,East,West"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CE15C0-A8DE-4AE4-891F-FE803FE81C7D}">
            <x14:dataBar minLength="10" maxLength="90" axisPosition="none" gradient="true">
              <x14:cfvo type="num">
                <xm:f>0</xm:f>
              </x14:cfvo>
              <x14:cfvo type="max"/>
              <x14:negativeFillColor rgb="FF5B8DEF"/>
              <x14:axisColor rgb="FF000000"/>
            </x14:dataBar>
          </x14:cfRule>
          <xm:sqref>I13:I16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0" t="s">
        <v>40</v>
      </c>
    </row>
    <row r="2" customFormat="false" ht="15" hidden="false" customHeight="false" outlineLevel="0" collapsed="false">
      <c r="A2" s="21" t="s">
        <v>41</v>
      </c>
    </row>
    <row r="3" customFormat="false" ht="15" hidden="false" customHeight="false" outlineLevel="0" collapsed="false">
      <c r="A3" s="21"/>
    </row>
    <row r="4" customFormat="false" ht="15" hidden="false" customHeight="false" outlineLevel="0" collapsed="false">
      <c r="A4" s="22" t="s">
        <v>42</v>
      </c>
    </row>
    <row r="5" customFormat="false" ht="15" hidden="false" customHeight="false" outlineLevel="0" collapsed="false">
      <c r="A5" s="21" t="s">
        <v>43</v>
      </c>
    </row>
    <row r="6" customFormat="false" ht="26.85" hidden="false" customHeight="false" outlineLevel="0" collapsed="false">
      <c r="A6" s="21" t="s">
        <v>44</v>
      </c>
    </row>
    <row r="7" customFormat="false" ht="15" hidden="false" customHeight="false" outlineLevel="0" collapsed="false">
      <c r="A7" s="21" t="s">
        <v>45</v>
      </c>
    </row>
    <row r="8" customFormat="false" ht="15" hidden="false" customHeight="false" outlineLevel="0" collapsed="false">
      <c r="A8" s="21"/>
    </row>
    <row r="9" customFormat="false" ht="15" hidden="false" customHeight="false" outlineLevel="0" collapsed="false">
      <c r="A9" s="22" t="s">
        <v>46</v>
      </c>
    </row>
    <row r="10" customFormat="false" ht="15" hidden="false" customHeight="false" outlineLevel="0" collapsed="false">
      <c r="A10" s="21" t="s">
        <v>47</v>
      </c>
    </row>
    <row r="11" customFormat="false" ht="15" hidden="false" customHeight="false" outlineLevel="0" collapsed="false">
      <c r="A11" s="21" t="s">
        <v>48</v>
      </c>
    </row>
    <row r="12" customFormat="false" ht="15" hidden="false" customHeight="false" outlineLevel="0" collapsed="false">
      <c r="A12" s="21" t="s">
        <v>49</v>
      </c>
    </row>
    <row r="13" customFormat="false" ht="15" hidden="false" customHeight="false" outlineLevel="0" collapsed="false">
      <c r="A13" s="21" t="s">
        <v>50</v>
      </c>
    </row>
    <row r="14" customFormat="false" ht="15" hidden="false" customHeight="false" outlineLevel="0" collapsed="false">
      <c r="A14" s="21" t="s">
        <v>51</v>
      </c>
    </row>
    <row r="15" customFormat="false" ht="15" hidden="false" customHeight="false" outlineLevel="0" collapsed="false">
      <c r="A15" s="21" t="s">
        <v>52</v>
      </c>
    </row>
    <row r="16" customFormat="false" ht="15" hidden="false" customHeight="false" outlineLevel="0" collapsed="false">
      <c r="A16" s="21" t="s">
        <v>53</v>
      </c>
    </row>
    <row r="17" customFormat="false" ht="15" hidden="false" customHeight="false" outlineLevel="0" collapsed="false">
      <c r="A17" s="21"/>
    </row>
    <row r="18" customFormat="false" ht="15" hidden="false" customHeight="false" outlineLevel="0" collapsed="false">
      <c r="A18" s="22" t="s">
        <v>54</v>
      </c>
    </row>
    <row r="19" customFormat="false" ht="26.85" hidden="false" customHeight="false" outlineLevel="0" collapsed="false">
      <c r="A19" s="21" t="s">
        <v>55</v>
      </c>
    </row>
    <row r="20" customFormat="false" ht="15" hidden="false" customHeight="false" outlineLevel="0" collapsed="false">
      <c r="A20" s="21"/>
    </row>
    <row r="21" customFormat="false" ht="15" hidden="false" customHeight="false" outlineLevel="0" collapsed="false">
      <c r="A21" s="22" t="s">
        <v>56</v>
      </c>
    </row>
    <row r="22" customFormat="false" ht="26.85" hidden="false" customHeight="false" outlineLevel="0" collapsed="false">
      <c r="A22" s="21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7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3" min="12" style="0" width="11"/>
  </cols>
  <sheetData>
    <row r="1" customFormat="false" ht="26.85" hidden="false" customHeight="false" outlineLevel="0" collapsed="false">
      <c r="A1" s="6" t="s">
        <v>58</v>
      </c>
      <c r="B1" s="6" t="s">
        <v>59</v>
      </c>
      <c r="C1" s="6" t="s">
        <v>10</v>
      </c>
      <c r="D1" s="6" t="s">
        <v>2</v>
      </c>
      <c r="E1" s="6" t="s">
        <v>60</v>
      </c>
      <c r="F1" s="6" t="s">
        <v>61</v>
      </c>
      <c r="G1" s="6" t="s">
        <v>26</v>
      </c>
      <c r="H1" s="6" t="s">
        <v>62</v>
      </c>
      <c r="I1" s="6" t="s">
        <v>63</v>
      </c>
      <c r="J1" s="6" t="s">
        <v>11</v>
      </c>
      <c r="K1" s="6" t="s">
        <v>64</v>
      </c>
      <c r="L1" s="6" t="s">
        <v>65</v>
      </c>
      <c r="M1" s="6" t="s">
        <v>12</v>
      </c>
    </row>
    <row r="2" customFormat="false" ht="15" hidden="false" customHeight="false" outlineLevel="0" collapsed="false">
      <c r="A2" s="23" t="s">
        <v>66</v>
      </c>
      <c r="B2" s="24" t="n">
        <v>45659</v>
      </c>
      <c r="C2" s="23" t="n">
        <f aca="false">MONTH(B2)</f>
        <v>1</v>
      </c>
      <c r="D2" s="23" t="s">
        <v>17</v>
      </c>
      <c r="E2" s="23" t="s">
        <v>67</v>
      </c>
      <c r="F2" s="23" t="s">
        <v>68</v>
      </c>
      <c r="G2" s="23" t="str">
        <f aca="false">IFERROR(INDEX(Products!$B$2:$B$13,MATCH(F2,Products!$A$2:$A$13,0)),"Unknown")</f>
        <v>Laptops</v>
      </c>
      <c r="H2" s="23" t="n">
        <v>2</v>
      </c>
      <c r="I2" s="25" t="n">
        <f aca="false">IFERROR(INDEX(Products!$C$2:$C$13,MATCH(F2,Products!$A$2:$A$13,0)),0)</f>
        <v>780</v>
      </c>
      <c r="J2" s="25" t="n">
        <f aca="false">H2*I2</f>
        <v>1560</v>
      </c>
      <c r="K2" s="25" t="n">
        <f aca="false">IFERROR(INDEX(Products!$D$2:$D$13,MATCH(F2,Products!$A$2:$A$13,0)),0)</f>
        <v>590</v>
      </c>
      <c r="L2" s="25" t="n">
        <f aca="false">H2*K2</f>
        <v>1180</v>
      </c>
      <c r="M2" s="25" t="n">
        <f aca="false">J2-L2</f>
        <v>380</v>
      </c>
    </row>
    <row r="3" customFormat="false" ht="15" hidden="false" customHeight="false" outlineLevel="0" collapsed="false">
      <c r="A3" s="23" t="s">
        <v>69</v>
      </c>
      <c r="B3" s="24" t="n">
        <v>45660</v>
      </c>
      <c r="C3" s="23" t="n">
        <f aca="false">MONTH(B3)</f>
        <v>1</v>
      </c>
      <c r="D3" s="23" t="s">
        <v>19</v>
      </c>
      <c r="E3" s="23" t="s">
        <v>70</v>
      </c>
      <c r="F3" s="23" t="s">
        <v>71</v>
      </c>
      <c r="G3" s="23" t="str">
        <f aca="false">IFERROR(INDEX(Products!$B$2:$B$13,MATCH(F3,Products!$A$2:$A$13,0)),"Unknown")</f>
        <v>Accessories</v>
      </c>
      <c r="H3" s="23" t="n">
        <v>12</v>
      </c>
      <c r="I3" s="25" t="n">
        <f aca="false">IFERROR(INDEX(Products!$C$2:$C$13,MATCH(F3,Products!$A$2:$A$13,0)),0)</f>
        <v>45</v>
      </c>
      <c r="J3" s="25" t="n">
        <f aca="false">H3*I3</f>
        <v>540</v>
      </c>
      <c r="K3" s="25" t="n">
        <f aca="false">IFERROR(INDEX(Products!$D$2:$D$13,MATCH(F3,Products!$A$2:$A$13,0)),0)</f>
        <v>18</v>
      </c>
      <c r="L3" s="25" t="n">
        <f aca="false">H3*K3</f>
        <v>216</v>
      </c>
      <c r="M3" s="25" t="n">
        <f aca="false">J3-L3</f>
        <v>324</v>
      </c>
    </row>
    <row r="4" customFormat="false" ht="15" hidden="false" customHeight="false" outlineLevel="0" collapsed="false">
      <c r="A4" s="23" t="s">
        <v>72</v>
      </c>
      <c r="B4" s="24" t="n">
        <v>45660</v>
      </c>
      <c r="C4" s="23" t="n">
        <f aca="false">MONTH(B4)</f>
        <v>1</v>
      </c>
      <c r="D4" s="23" t="s">
        <v>19</v>
      </c>
      <c r="E4" s="23" t="s">
        <v>73</v>
      </c>
      <c r="F4" s="23" t="s">
        <v>74</v>
      </c>
      <c r="G4" s="23" t="str">
        <f aca="false">IFERROR(INDEX(Products!$B$2:$B$13,MATCH(F4,Products!$A$2:$A$13,0)),"Unknown")</f>
        <v>Monitors</v>
      </c>
      <c r="H4" s="23" t="n">
        <v>3</v>
      </c>
      <c r="I4" s="25" t="n">
        <f aca="false">IFERROR(INDEX(Products!$C$2:$C$13,MATCH(F4,Products!$A$2:$A$13,0)),0)</f>
        <v>310</v>
      </c>
      <c r="J4" s="25" t="n">
        <f aca="false">H4*I4</f>
        <v>930</v>
      </c>
      <c r="K4" s="25" t="n">
        <f aca="false">IFERROR(INDEX(Products!$D$2:$D$13,MATCH(F4,Products!$A$2:$A$13,0)),0)</f>
        <v>225</v>
      </c>
      <c r="L4" s="25" t="n">
        <f aca="false">H4*K4</f>
        <v>675</v>
      </c>
      <c r="M4" s="25" t="n">
        <f aca="false">J4-L4</f>
        <v>255</v>
      </c>
    </row>
    <row r="5" customFormat="false" ht="15" hidden="false" customHeight="false" outlineLevel="0" collapsed="false">
      <c r="A5" s="23" t="s">
        <v>75</v>
      </c>
      <c r="B5" s="24" t="n">
        <v>45660</v>
      </c>
      <c r="C5" s="23" t="n">
        <f aca="false">MONTH(B5)</f>
        <v>1</v>
      </c>
      <c r="D5" s="23" t="s">
        <v>17</v>
      </c>
      <c r="E5" s="23" t="s">
        <v>67</v>
      </c>
      <c r="F5" s="23" t="s">
        <v>71</v>
      </c>
      <c r="G5" s="23" t="str">
        <f aca="false">IFERROR(INDEX(Products!$B$2:$B$13,MATCH(F5,Products!$A$2:$A$13,0)),"Unknown")</f>
        <v>Accessories</v>
      </c>
      <c r="H5" s="23" t="n">
        <v>3</v>
      </c>
      <c r="I5" s="25" t="n">
        <f aca="false">IFERROR(INDEX(Products!$C$2:$C$13,MATCH(F5,Products!$A$2:$A$13,0)),0)</f>
        <v>45</v>
      </c>
      <c r="J5" s="25" t="n">
        <f aca="false">H5*I5</f>
        <v>135</v>
      </c>
      <c r="K5" s="25" t="n">
        <f aca="false">IFERROR(INDEX(Products!$D$2:$D$13,MATCH(F5,Products!$A$2:$A$13,0)),0)</f>
        <v>18</v>
      </c>
      <c r="L5" s="25" t="n">
        <f aca="false">H5*K5</f>
        <v>54</v>
      </c>
      <c r="M5" s="25" t="n">
        <f aca="false">J5-L5</f>
        <v>81</v>
      </c>
    </row>
    <row r="6" customFormat="false" ht="15" hidden="false" customHeight="false" outlineLevel="0" collapsed="false">
      <c r="A6" s="23" t="s">
        <v>76</v>
      </c>
      <c r="B6" s="24" t="n">
        <v>45660</v>
      </c>
      <c r="C6" s="23" t="n">
        <f aca="false">MONTH(B6)</f>
        <v>1</v>
      </c>
      <c r="D6" s="23" t="s">
        <v>23</v>
      </c>
      <c r="E6" s="23" t="s">
        <v>77</v>
      </c>
      <c r="F6" s="23" t="s">
        <v>71</v>
      </c>
      <c r="G6" s="23" t="str">
        <f aca="false">IFERROR(INDEX(Products!$B$2:$B$13,MATCH(F6,Products!$A$2:$A$13,0)),"Unknown")</f>
        <v>Accessories</v>
      </c>
      <c r="H6" s="23" t="n">
        <v>3</v>
      </c>
      <c r="I6" s="25" t="n">
        <f aca="false">IFERROR(INDEX(Products!$C$2:$C$13,MATCH(F6,Products!$A$2:$A$13,0)),0)</f>
        <v>45</v>
      </c>
      <c r="J6" s="25" t="n">
        <f aca="false">H6*I6</f>
        <v>135</v>
      </c>
      <c r="K6" s="25" t="n">
        <f aca="false">IFERROR(INDEX(Products!$D$2:$D$13,MATCH(F6,Products!$A$2:$A$13,0)),0)</f>
        <v>18</v>
      </c>
      <c r="L6" s="25" t="n">
        <f aca="false">H6*K6</f>
        <v>54</v>
      </c>
      <c r="M6" s="25" t="n">
        <f aca="false">J6-L6</f>
        <v>81</v>
      </c>
    </row>
    <row r="7" customFormat="false" ht="15" hidden="false" customHeight="false" outlineLevel="0" collapsed="false">
      <c r="A7" s="23" t="s">
        <v>78</v>
      </c>
      <c r="B7" s="24" t="n">
        <v>45665</v>
      </c>
      <c r="C7" s="23" t="n">
        <f aca="false">MONTH(B7)</f>
        <v>1</v>
      </c>
      <c r="D7" s="23" t="s">
        <v>19</v>
      </c>
      <c r="E7" s="23" t="s">
        <v>70</v>
      </c>
      <c r="F7" s="23" t="s">
        <v>79</v>
      </c>
      <c r="G7" s="23" t="str">
        <f aca="false">IFERROR(INDEX(Products!$B$2:$B$13,MATCH(F7,Products!$A$2:$A$13,0)),"Unknown")</f>
        <v>Accessories</v>
      </c>
      <c r="H7" s="23" t="n">
        <v>3</v>
      </c>
      <c r="I7" s="25" t="n">
        <f aca="false">IFERROR(INDEX(Products!$C$2:$C$13,MATCH(F7,Products!$A$2:$A$13,0)),0)</f>
        <v>190</v>
      </c>
      <c r="J7" s="25" t="n">
        <f aca="false">H7*I7</f>
        <v>570</v>
      </c>
      <c r="K7" s="25" t="n">
        <f aca="false">IFERROR(INDEX(Products!$D$2:$D$13,MATCH(F7,Products!$A$2:$A$13,0)),0)</f>
        <v>115</v>
      </c>
      <c r="L7" s="25" t="n">
        <f aca="false">H7*K7</f>
        <v>345</v>
      </c>
      <c r="M7" s="25" t="n">
        <f aca="false">J7-L7</f>
        <v>225</v>
      </c>
    </row>
    <row r="8" customFormat="false" ht="15" hidden="false" customHeight="false" outlineLevel="0" collapsed="false">
      <c r="A8" s="23" t="s">
        <v>80</v>
      </c>
      <c r="B8" s="24" t="n">
        <v>45665</v>
      </c>
      <c r="C8" s="23" t="n">
        <f aca="false">MONTH(B8)</f>
        <v>1</v>
      </c>
      <c r="D8" s="23" t="s">
        <v>19</v>
      </c>
      <c r="E8" s="23" t="s">
        <v>73</v>
      </c>
      <c r="F8" s="23" t="s">
        <v>81</v>
      </c>
      <c r="G8" s="23" t="str">
        <f aca="false">IFERROR(INDEX(Products!$B$2:$B$13,MATCH(F8,Products!$A$2:$A$13,0)),"Unknown")</f>
        <v>Laptops</v>
      </c>
      <c r="H8" s="23" t="n">
        <v>1</v>
      </c>
      <c r="I8" s="25" t="n">
        <f aca="false">IFERROR(INDEX(Products!$C$2:$C$13,MATCH(F8,Products!$A$2:$A$13,0)),0)</f>
        <v>950</v>
      </c>
      <c r="J8" s="25" t="n">
        <f aca="false">H8*I8</f>
        <v>950</v>
      </c>
      <c r="K8" s="25" t="n">
        <f aca="false">IFERROR(INDEX(Products!$D$2:$D$13,MATCH(F8,Products!$A$2:$A$13,0)),0)</f>
        <v>720</v>
      </c>
      <c r="L8" s="25" t="n">
        <f aca="false">H8*K8</f>
        <v>720</v>
      </c>
      <c r="M8" s="25" t="n">
        <f aca="false">J8-L8</f>
        <v>230</v>
      </c>
    </row>
    <row r="9" customFormat="false" ht="15" hidden="false" customHeight="false" outlineLevel="0" collapsed="false">
      <c r="A9" s="23" t="s">
        <v>82</v>
      </c>
      <c r="B9" s="24" t="n">
        <v>45666</v>
      </c>
      <c r="C9" s="23" t="n">
        <f aca="false">MONTH(B9)</f>
        <v>1</v>
      </c>
      <c r="D9" s="23" t="s">
        <v>19</v>
      </c>
      <c r="E9" s="23" t="s">
        <v>70</v>
      </c>
      <c r="F9" s="23" t="s">
        <v>83</v>
      </c>
      <c r="G9" s="23" t="str">
        <f aca="false">IFERROR(INDEX(Products!$B$2:$B$13,MATCH(F9,Products!$A$2:$A$13,0)),"Unknown")</f>
        <v>Phones</v>
      </c>
      <c r="H9" s="23" t="n">
        <v>2</v>
      </c>
      <c r="I9" s="25" t="n">
        <f aca="false">IFERROR(INDEX(Products!$C$2:$C$13,MATCH(F9,Products!$A$2:$A$13,0)),0)</f>
        <v>640</v>
      </c>
      <c r="J9" s="25" t="n">
        <f aca="false">H9*I9</f>
        <v>1280</v>
      </c>
      <c r="K9" s="25" t="n">
        <f aca="false">IFERROR(INDEX(Products!$D$2:$D$13,MATCH(F9,Products!$A$2:$A$13,0)),0)</f>
        <v>470</v>
      </c>
      <c r="L9" s="25" t="n">
        <f aca="false">H9*K9</f>
        <v>940</v>
      </c>
      <c r="M9" s="25" t="n">
        <f aca="false">J9-L9</f>
        <v>340</v>
      </c>
    </row>
    <row r="10" customFormat="false" ht="15" hidden="false" customHeight="false" outlineLevel="0" collapsed="false">
      <c r="A10" s="23" t="s">
        <v>84</v>
      </c>
      <c r="B10" s="24" t="n">
        <v>45667</v>
      </c>
      <c r="C10" s="23" t="n">
        <f aca="false">MONTH(B10)</f>
        <v>1</v>
      </c>
      <c r="D10" s="23" t="s">
        <v>23</v>
      </c>
      <c r="E10" s="23" t="s">
        <v>85</v>
      </c>
      <c r="F10" s="23" t="s">
        <v>68</v>
      </c>
      <c r="G10" s="23" t="str">
        <f aca="false">IFERROR(INDEX(Products!$B$2:$B$13,MATCH(F10,Products!$A$2:$A$13,0)),"Unknown")</f>
        <v>Laptops</v>
      </c>
      <c r="H10" s="23" t="n">
        <v>1</v>
      </c>
      <c r="I10" s="25" t="n">
        <f aca="false">IFERROR(INDEX(Products!$C$2:$C$13,MATCH(F10,Products!$A$2:$A$13,0)),0)</f>
        <v>780</v>
      </c>
      <c r="J10" s="25" t="n">
        <f aca="false">H10*I10</f>
        <v>780</v>
      </c>
      <c r="K10" s="25" t="n">
        <f aca="false">IFERROR(INDEX(Products!$D$2:$D$13,MATCH(F10,Products!$A$2:$A$13,0)),0)</f>
        <v>590</v>
      </c>
      <c r="L10" s="25" t="n">
        <f aca="false">H10*K10</f>
        <v>590</v>
      </c>
      <c r="M10" s="25" t="n">
        <f aca="false">J10-L10</f>
        <v>190</v>
      </c>
    </row>
    <row r="11" customFormat="false" ht="15" hidden="false" customHeight="false" outlineLevel="0" collapsed="false">
      <c r="A11" s="23" t="s">
        <v>86</v>
      </c>
      <c r="B11" s="24" t="n">
        <v>45669</v>
      </c>
      <c r="C11" s="23" t="n">
        <f aca="false">MONTH(B11)</f>
        <v>1</v>
      </c>
      <c r="D11" s="23" t="s">
        <v>21</v>
      </c>
      <c r="E11" s="23" t="s">
        <v>87</v>
      </c>
      <c r="F11" s="23" t="s">
        <v>88</v>
      </c>
      <c r="G11" s="23" t="str">
        <f aca="false">IFERROR(INDEX(Products!$B$2:$B$13,MATCH(F11,Products!$A$2:$A$13,0)),"Unknown")</f>
        <v>Accessories</v>
      </c>
      <c r="H11" s="23" t="n">
        <v>3</v>
      </c>
      <c r="I11" s="25" t="n">
        <f aca="false">IFERROR(INDEX(Products!$C$2:$C$13,MATCH(F11,Products!$A$2:$A$13,0)),0)</f>
        <v>85</v>
      </c>
      <c r="J11" s="25" t="n">
        <f aca="false">H11*I11</f>
        <v>255</v>
      </c>
      <c r="K11" s="25" t="n">
        <f aca="false">IFERROR(INDEX(Products!$D$2:$D$13,MATCH(F11,Products!$A$2:$A$13,0)),0)</f>
        <v>38</v>
      </c>
      <c r="L11" s="25" t="n">
        <f aca="false">H11*K11</f>
        <v>114</v>
      </c>
      <c r="M11" s="25" t="n">
        <f aca="false">J11-L11</f>
        <v>141</v>
      </c>
    </row>
    <row r="12" customFormat="false" ht="15" hidden="false" customHeight="false" outlineLevel="0" collapsed="false">
      <c r="A12" s="23" t="s">
        <v>89</v>
      </c>
      <c r="B12" s="24" t="n">
        <v>45670</v>
      </c>
      <c r="C12" s="23" t="n">
        <f aca="false">MONTH(B12)</f>
        <v>1</v>
      </c>
      <c r="D12" s="23" t="s">
        <v>21</v>
      </c>
      <c r="E12" s="23" t="s">
        <v>90</v>
      </c>
      <c r="F12" s="23" t="s">
        <v>91</v>
      </c>
      <c r="G12" s="23" t="str">
        <f aca="false">IFERROR(INDEX(Products!$B$2:$B$13,MATCH(F12,Products!$A$2:$A$13,0)),"Unknown")</f>
        <v>Tablets</v>
      </c>
      <c r="H12" s="23" t="n">
        <v>5</v>
      </c>
      <c r="I12" s="25" t="n">
        <f aca="false">IFERROR(INDEX(Products!$C$2:$C$13,MATCH(F12,Products!$A$2:$A$13,0)),0)</f>
        <v>420</v>
      </c>
      <c r="J12" s="25" t="n">
        <f aca="false">H12*I12</f>
        <v>2100</v>
      </c>
      <c r="K12" s="25" t="n">
        <f aca="false">IFERROR(INDEX(Products!$D$2:$D$13,MATCH(F12,Products!$A$2:$A$13,0)),0)</f>
        <v>300</v>
      </c>
      <c r="L12" s="25" t="n">
        <f aca="false">H12*K12</f>
        <v>1500</v>
      </c>
      <c r="M12" s="25" t="n">
        <f aca="false">J12-L12</f>
        <v>600</v>
      </c>
    </row>
    <row r="13" customFormat="false" ht="15" hidden="false" customHeight="false" outlineLevel="0" collapsed="false">
      <c r="A13" s="23" t="s">
        <v>92</v>
      </c>
      <c r="B13" s="24" t="n">
        <v>45672</v>
      </c>
      <c r="C13" s="23" t="n">
        <f aca="false">MONTH(B13)</f>
        <v>1</v>
      </c>
      <c r="D13" s="23" t="s">
        <v>21</v>
      </c>
      <c r="E13" s="23" t="s">
        <v>90</v>
      </c>
      <c r="F13" s="23" t="s">
        <v>71</v>
      </c>
      <c r="G13" s="23" t="str">
        <f aca="false">IFERROR(INDEX(Products!$B$2:$B$13,MATCH(F13,Products!$A$2:$A$13,0)),"Unknown")</f>
        <v>Accessories</v>
      </c>
      <c r="H13" s="23" t="n">
        <v>3</v>
      </c>
      <c r="I13" s="25" t="n">
        <f aca="false">IFERROR(INDEX(Products!$C$2:$C$13,MATCH(F13,Products!$A$2:$A$13,0)),0)</f>
        <v>45</v>
      </c>
      <c r="J13" s="25" t="n">
        <f aca="false">H13*I13</f>
        <v>135</v>
      </c>
      <c r="K13" s="25" t="n">
        <f aca="false">IFERROR(INDEX(Products!$D$2:$D$13,MATCH(F13,Products!$A$2:$A$13,0)),0)</f>
        <v>18</v>
      </c>
      <c r="L13" s="25" t="n">
        <f aca="false">H13*K13</f>
        <v>54</v>
      </c>
      <c r="M13" s="25" t="n">
        <f aca="false">J13-L13</f>
        <v>81</v>
      </c>
    </row>
    <row r="14" customFormat="false" ht="15" hidden="false" customHeight="false" outlineLevel="0" collapsed="false">
      <c r="A14" s="23" t="s">
        <v>93</v>
      </c>
      <c r="B14" s="24" t="n">
        <v>45672</v>
      </c>
      <c r="C14" s="23" t="n">
        <f aca="false">MONTH(B14)</f>
        <v>1</v>
      </c>
      <c r="D14" s="23" t="s">
        <v>21</v>
      </c>
      <c r="E14" s="23" t="s">
        <v>90</v>
      </c>
      <c r="F14" s="23" t="s">
        <v>94</v>
      </c>
      <c r="G14" s="23" t="str">
        <f aca="false">IFERROR(INDEX(Products!$B$2:$B$13,MATCH(F14,Products!$A$2:$A$13,0)),"Unknown")</f>
        <v>Laptops</v>
      </c>
      <c r="H14" s="23" t="n">
        <v>3</v>
      </c>
      <c r="I14" s="25" t="n">
        <f aca="false">IFERROR(INDEX(Products!$C$2:$C$13,MATCH(F14,Products!$A$2:$A$13,0)),0)</f>
        <v>1350</v>
      </c>
      <c r="J14" s="25" t="n">
        <f aca="false">H14*I14</f>
        <v>4050</v>
      </c>
      <c r="K14" s="25" t="n">
        <f aca="false">IFERROR(INDEX(Products!$D$2:$D$13,MATCH(F14,Products!$A$2:$A$13,0)),0)</f>
        <v>1040</v>
      </c>
      <c r="L14" s="25" t="n">
        <f aca="false">H14*K14</f>
        <v>3120</v>
      </c>
      <c r="M14" s="25" t="n">
        <f aca="false">J14-L14</f>
        <v>930</v>
      </c>
    </row>
    <row r="15" customFormat="false" ht="15" hidden="false" customHeight="false" outlineLevel="0" collapsed="false">
      <c r="A15" s="23" t="s">
        <v>95</v>
      </c>
      <c r="B15" s="24" t="n">
        <v>45674</v>
      </c>
      <c r="C15" s="23" t="n">
        <f aca="false">MONTH(B15)</f>
        <v>1</v>
      </c>
      <c r="D15" s="23" t="s">
        <v>19</v>
      </c>
      <c r="E15" s="23" t="s">
        <v>70</v>
      </c>
      <c r="F15" s="23" t="s">
        <v>96</v>
      </c>
      <c r="G15" s="23" t="str">
        <f aca="false">IFERROR(INDEX(Products!$B$2:$B$13,MATCH(F15,Products!$A$2:$A$13,0)),"Unknown")</f>
        <v>Tablets</v>
      </c>
      <c r="H15" s="23" t="n">
        <v>1</v>
      </c>
      <c r="I15" s="25" t="n">
        <f aca="false">IFERROR(INDEX(Products!$C$2:$C$13,MATCH(F15,Products!$A$2:$A$13,0)),0)</f>
        <v>260</v>
      </c>
      <c r="J15" s="25" t="n">
        <f aca="false">H15*I15</f>
        <v>260</v>
      </c>
      <c r="K15" s="25" t="n">
        <f aca="false">IFERROR(INDEX(Products!$D$2:$D$13,MATCH(F15,Products!$A$2:$A$13,0)),0)</f>
        <v>180</v>
      </c>
      <c r="L15" s="25" t="n">
        <f aca="false">H15*K15</f>
        <v>180</v>
      </c>
      <c r="M15" s="25" t="n">
        <f aca="false">J15-L15</f>
        <v>80</v>
      </c>
    </row>
    <row r="16" customFormat="false" ht="15" hidden="false" customHeight="false" outlineLevel="0" collapsed="false">
      <c r="A16" s="23" t="s">
        <v>97</v>
      </c>
      <c r="B16" s="24" t="n">
        <v>45674</v>
      </c>
      <c r="C16" s="23" t="n">
        <f aca="false">MONTH(B16)</f>
        <v>1</v>
      </c>
      <c r="D16" s="23" t="s">
        <v>23</v>
      </c>
      <c r="E16" s="23" t="s">
        <v>85</v>
      </c>
      <c r="F16" s="23" t="s">
        <v>98</v>
      </c>
      <c r="G16" s="23" t="str">
        <f aca="false">IFERROR(INDEX(Products!$B$2:$B$13,MATCH(F16,Products!$A$2:$A$13,0)),"Unknown")</f>
        <v>Monitors</v>
      </c>
      <c r="H16" s="23" t="n">
        <v>2</v>
      </c>
      <c r="I16" s="25" t="n">
        <f aca="false">IFERROR(INDEX(Products!$C$2:$C$13,MATCH(F16,Products!$A$2:$A$13,0)),0)</f>
        <v>480</v>
      </c>
      <c r="J16" s="25" t="n">
        <f aca="false">H16*I16</f>
        <v>960</v>
      </c>
      <c r="K16" s="25" t="n">
        <f aca="false">IFERROR(INDEX(Products!$D$2:$D$13,MATCH(F16,Products!$A$2:$A$13,0)),0)</f>
        <v>350</v>
      </c>
      <c r="L16" s="25" t="n">
        <f aca="false">H16*K16</f>
        <v>700</v>
      </c>
      <c r="M16" s="25" t="n">
        <f aca="false">J16-L16</f>
        <v>260</v>
      </c>
    </row>
    <row r="17" customFormat="false" ht="15" hidden="false" customHeight="false" outlineLevel="0" collapsed="false">
      <c r="A17" s="23" t="s">
        <v>99</v>
      </c>
      <c r="B17" s="24" t="n">
        <v>45675</v>
      </c>
      <c r="C17" s="23" t="n">
        <f aca="false">MONTH(B17)</f>
        <v>1</v>
      </c>
      <c r="D17" s="23" t="s">
        <v>19</v>
      </c>
      <c r="E17" s="23" t="s">
        <v>73</v>
      </c>
      <c r="F17" s="23" t="s">
        <v>79</v>
      </c>
      <c r="G17" s="23" t="str">
        <f aca="false">IFERROR(INDEX(Products!$B$2:$B$13,MATCH(F17,Products!$A$2:$A$13,0)),"Unknown")</f>
        <v>Accessories</v>
      </c>
      <c r="H17" s="23" t="n">
        <v>12</v>
      </c>
      <c r="I17" s="25" t="n">
        <f aca="false">IFERROR(INDEX(Products!$C$2:$C$13,MATCH(F17,Products!$A$2:$A$13,0)),0)</f>
        <v>190</v>
      </c>
      <c r="J17" s="25" t="n">
        <f aca="false">H17*I17</f>
        <v>2280</v>
      </c>
      <c r="K17" s="25" t="n">
        <f aca="false">IFERROR(INDEX(Products!$D$2:$D$13,MATCH(F17,Products!$A$2:$A$13,0)),0)</f>
        <v>115</v>
      </c>
      <c r="L17" s="25" t="n">
        <f aca="false">H17*K17</f>
        <v>1380</v>
      </c>
      <c r="M17" s="25" t="n">
        <f aca="false">J17-L17</f>
        <v>900</v>
      </c>
    </row>
    <row r="18" customFormat="false" ht="15" hidden="false" customHeight="false" outlineLevel="0" collapsed="false">
      <c r="A18" s="23" t="s">
        <v>100</v>
      </c>
      <c r="B18" s="24" t="n">
        <v>45675</v>
      </c>
      <c r="C18" s="23" t="n">
        <f aca="false">MONTH(B18)</f>
        <v>1</v>
      </c>
      <c r="D18" s="23" t="s">
        <v>17</v>
      </c>
      <c r="E18" s="23" t="s">
        <v>67</v>
      </c>
      <c r="F18" s="23" t="s">
        <v>98</v>
      </c>
      <c r="G18" s="23" t="str">
        <f aca="false">IFERROR(INDEX(Products!$B$2:$B$13,MATCH(F18,Products!$A$2:$A$13,0)),"Unknown")</f>
        <v>Monitors</v>
      </c>
      <c r="H18" s="23" t="n">
        <v>4</v>
      </c>
      <c r="I18" s="25" t="n">
        <f aca="false">IFERROR(INDEX(Products!$C$2:$C$13,MATCH(F18,Products!$A$2:$A$13,0)),0)</f>
        <v>480</v>
      </c>
      <c r="J18" s="25" t="n">
        <f aca="false">H18*I18</f>
        <v>1920</v>
      </c>
      <c r="K18" s="25" t="n">
        <f aca="false">IFERROR(INDEX(Products!$D$2:$D$13,MATCH(F18,Products!$A$2:$A$13,0)),0)</f>
        <v>350</v>
      </c>
      <c r="L18" s="25" t="n">
        <f aca="false">H18*K18</f>
        <v>1400</v>
      </c>
      <c r="M18" s="25" t="n">
        <f aca="false">J18-L18</f>
        <v>520</v>
      </c>
    </row>
    <row r="19" customFormat="false" ht="15" hidden="false" customHeight="false" outlineLevel="0" collapsed="false">
      <c r="A19" s="23" t="s">
        <v>101</v>
      </c>
      <c r="B19" s="24" t="n">
        <v>45675</v>
      </c>
      <c r="C19" s="23" t="n">
        <f aca="false">MONTH(B19)</f>
        <v>1</v>
      </c>
      <c r="D19" s="23" t="s">
        <v>21</v>
      </c>
      <c r="E19" s="23" t="s">
        <v>90</v>
      </c>
      <c r="F19" s="23" t="s">
        <v>71</v>
      </c>
      <c r="G19" s="23" t="str">
        <f aca="false">IFERROR(INDEX(Products!$B$2:$B$13,MATCH(F19,Products!$A$2:$A$13,0)),"Unknown")</f>
        <v>Accessories</v>
      </c>
      <c r="H19" s="23" t="n">
        <v>9</v>
      </c>
      <c r="I19" s="25" t="n">
        <f aca="false">IFERROR(INDEX(Products!$C$2:$C$13,MATCH(F19,Products!$A$2:$A$13,0)),0)</f>
        <v>45</v>
      </c>
      <c r="J19" s="25" t="n">
        <f aca="false">H19*I19</f>
        <v>405</v>
      </c>
      <c r="K19" s="25" t="n">
        <f aca="false">IFERROR(INDEX(Products!$D$2:$D$13,MATCH(F19,Products!$A$2:$A$13,0)),0)</f>
        <v>18</v>
      </c>
      <c r="L19" s="25" t="n">
        <f aca="false">H19*K19</f>
        <v>162</v>
      </c>
      <c r="M19" s="25" t="n">
        <f aca="false">J19-L19</f>
        <v>243</v>
      </c>
    </row>
    <row r="20" customFormat="false" ht="15" hidden="false" customHeight="false" outlineLevel="0" collapsed="false">
      <c r="A20" s="23" t="s">
        <v>102</v>
      </c>
      <c r="B20" s="24" t="n">
        <v>45675</v>
      </c>
      <c r="C20" s="23" t="n">
        <f aca="false">MONTH(B20)</f>
        <v>1</v>
      </c>
      <c r="D20" s="23" t="s">
        <v>19</v>
      </c>
      <c r="E20" s="23" t="s">
        <v>70</v>
      </c>
      <c r="F20" s="23" t="s">
        <v>94</v>
      </c>
      <c r="G20" s="23" t="str">
        <f aca="false">IFERROR(INDEX(Products!$B$2:$B$13,MATCH(F20,Products!$A$2:$A$13,0)),"Unknown")</f>
        <v>Laptops</v>
      </c>
      <c r="H20" s="23" t="n">
        <v>4</v>
      </c>
      <c r="I20" s="25" t="n">
        <f aca="false">IFERROR(INDEX(Products!$C$2:$C$13,MATCH(F20,Products!$A$2:$A$13,0)),0)</f>
        <v>1350</v>
      </c>
      <c r="J20" s="25" t="n">
        <f aca="false">H20*I20</f>
        <v>5400</v>
      </c>
      <c r="K20" s="25" t="n">
        <f aca="false">IFERROR(INDEX(Products!$D$2:$D$13,MATCH(F20,Products!$A$2:$A$13,0)),0)</f>
        <v>1040</v>
      </c>
      <c r="L20" s="25" t="n">
        <f aca="false">H20*K20</f>
        <v>4160</v>
      </c>
      <c r="M20" s="25" t="n">
        <f aca="false">J20-L20</f>
        <v>1240</v>
      </c>
    </row>
    <row r="21" customFormat="false" ht="15" hidden="false" customHeight="false" outlineLevel="0" collapsed="false">
      <c r="A21" s="23" t="s">
        <v>103</v>
      </c>
      <c r="B21" s="24" t="n">
        <v>45676</v>
      </c>
      <c r="C21" s="23" t="n">
        <f aca="false">MONTH(B21)</f>
        <v>1</v>
      </c>
      <c r="D21" s="23" t="s">
        <v>23</v>
      </c>
      <c r="E21" s="23" t="s">
        <v>85</v>
      </c>
      <c r="F21" s="23" t="s">
        <v>104</v>
      </c>
      <c r="G21" s="23" t="str">
        <f aca="false">IFERROR(INDEX(Products!$B$2:$B$13,MATCH(F21,Products!$A$2:$A$13,0)),"Unknown")</f>
        <v>Phones</v>
      </c>
      <c r="H21" s="23" t="n">
        <v>1</v>
      </c>
      <c r="I21" s="25" t="n">
        <f aca="false">IFERROR(INDEX(Products!$C$2:$C$13,MATCH(F21,Products!$A$2:$A$13,0)),0)</f>
        <v>290</v>
      </c>
      <c r="J21" s="25" t="n">
        <f aca="false">H21*I21</f>
        <v>290</v>
      </c>
      <c r="K21" s="25" t="n">
        <f aca="false">IFERROR(INDEX(Products!$D$2:$D$13,MATCH(F21,Products!$A$2:$A$13,0)),0)</f>
        <v>205</v>
      </c>
      <c r="L21" s="25" t="n">
        <f aca="false">H21*K21</f>
        <v>205</v>
      </c>
      <c r="M21" s="25" t="n">
        <f aca="false">J21-L21</f>
        <v>85</v>
      </c>
    </row>
    <row r="22" customFormat="false" ht="15" hidden="false" customHeight="false" outlineLevel="0" collapsed="false">
      <c r="A22" s="23" t="s">
        <v>105</v>
      </c>
      <c r="B22" s="24" t="n">
        <v>45676</v>
      </c>
      <c r="C22" s="23" t="n">
        <f aca="false">MONTH(B22)</f>
        <v>1</v>
      </c>
      <c r="D22" s="23" t="s">
        <v>19</v>
      </c>
      <c r="E22" s="23" t="s">
        <v>73</v>
      </c>
      <c r="F22" s="23" t="s">
        <v>81</v>
      </c>
      <c r="G22" s="23" t="str">
        <f aca="false">IFERROR(INDEX(Products!$B$2:$B$13,MATCH(F22,Products!$A$2:$A$13,0)),"Unknown")</f>
        <v>Laptops</v>
      </c>
      <c r="H22" s="23" t="n">
        <v>1</v>
      </c>
      <c r="I22" s="25" t="n">
        <f aca="false">IFERROR(INDEX(Products!$C$2:$C$13,MATCH(F22,Products!$A$2:$A$13,0)),0)</f>
        <v>950</v>
      </c>
      <c r="J22" s="25" t="n">
        <f aca="false">H22*I22</f>
        <v>950</v>
      </c>
      <c r="K22" s="25" t="n">
        <f aca="false">IFERROR(INDEX(Products!$D$2:$D$13,MATCH(F22,Products!$A$2:$A$13,0)),0)</f>
        <v>720</v>
      </c>
      <c r="L22" s="25" t="n">
        <f aca="false">H22*K22</f>
        <v>720</v>
      </c>
      <c r="M22" s="25" t="n">
        <f aca="false">J22-L22</f>
        <v>230</v>
      </c>
    </row>
    <row r="23" customFormat="false" ht="15" hidden="false" customHeight="false" outlineLevel="0" collapsed="false">
      <c r="A23" s="23" t="s">
        <v>106</v>
      </c>
      <c r="B23" s="24" t="n">
        <v>45677</v>
      </c>
      <c r="C23" s="23" t="n">
        <f aca="false">MONTH(B23)</f>
        <v>1</v>
      </c>
      <c r="D23" s="23" t="s">
        <v>23</v>
      </c>
      <c r="E23" s="23" t="s">
        <v>77</v>
      </c>
      <c r="F23" s="23" t="s">
        <v>96</v>
      </c>
      <c r="G23" s="23" t="str">
        <f aca="false">IFERROR(INDEX(Products!$B$2:$B$13,MATCH(F23,Products!$A$2:$A$13,0)),"Unknown")</f>
        <v>Tablets</v>
      </c>
      <c r="H23" s="23" t="n">
        <v>1</v>
      </c>
      <c r="I23" s="25" t="n">
        <f aca="false">IFERROR(INDEX(Products!$C$2:$C$13,MATCH(F23,Products!$A$2:$A$13,0)),0)</f>
        <v>260</v>
      </c>
      <c r="J23" s="25" t="n">
        <f aca="false">H23*I23</f>
        <v>260</v>
      </c>
      <c r="K23" s="25" t="n">
        <f aca="false">IFERROR(INDEX(Products!$D$2:$D$13,MATCH(F23,Products!$A$2:$A$13,0)),0)</f>
        <v>180</v>
      </c>
      <c r="L23" s="25" t="n">
        <f aca="false">H23*K23</f>
        <v>180</v>
      </c>
      <c r="M23" s="25" t="n">
        <f aca="false">J23-L23</f>
        <v>80</v>
      </c>
    </row>
    <row r="24" customFormat="false" ht="15" hidden="false" customHeight="false" outlineLevel="0" collapsed="false">
      <c r="A24" s="23" t="s">
        <v>107</v>
      </c>
      <c r="B24" s="24" t="n">
        <v>45677</v>
      </c>
      <c r="C24" s="23" t="n">
        <f aca="false">MONTH(B24)</f>
        <v>1</v>
      </c>
      <c r="D24" s="23" t="s">
        <v>21</v>
      </c>
      <c r="E24" s="23" t="s">
        <v>87</v>
      </c>
      <c r="F24" s="23" t="s">
        <v>96</v>
      </c>
      <c r="G24" s="23" t="str">
        <f aca="false">IFERROR(INDEX(Products!$B$2:$B$13,MATCH(F24,Products!$A$2:$A$13,0)),"Unknown")</f>
        <v>Tablets</v>
      </c>
      <c r="H24" s="23" t="n">
        <v>1</v>
      </c>
      <c r="I24" s="25" t="n">
        <f aca="false">IFERROR(INDEX(Products!$C$2:$C$13,MATCH(F24,Products!$A$2:$A$13,0)),0)</f>
        <v>260</v>
      </c>
      <c r="J24" s="25" t="n">
        <f aca="false">H24*I24</f>
        <v>260</v>
      </c>
      <c r="K24" s="25" t="n">
        <f aca="false">IFERROR(INDEX(Products!$D$2:$D$13,MATCH(F24,Products!$A$2:$A$13,0)),0)</f>
        <v>180</v>
      </c>
      <c r="L24" s="25" t="n">
        <f aca="false">H24*K24</f>
        <v>180</v>
      </c>
      <c r="M24" s="25" t="n">
        <f aca="false">J24-L24</f>
        <v>80</v>
      </c>
    </row>
    <row r="25" customFormat="false" ht="15" hidden="false" customHeight="false" outlineLevel="0" collapsed="false">
      <c r="A25" s="23" t="s">
        <v>108</v>
      </c>
      <c r="B25" s="24" t="n">
        <v>45678</v>
      </c>
      <c r="C25" s="23" t="n">
        <f aca="false">MONTH(B25)</f>
        <v>1</v>
      </c>
      <c r="D25" s="23" t="s">
        <v>17</v>
      </c>
      <c r="E25" s="23" t="s">
        <v>67</v>
      </c>
      <c r="F25" s="23" t="s">
        <v>81</v>
      </c>
      <c r="G25" s="23" t="str">
        <f aca="false">IFERROR(INDEX(Products!$B$2:$B$13,MATCH(F25,Products!$A$2:$A$13,0)),"Unknown")</f>
        <v>Laptops</v>
      </c>
      <c r="H25" s="23" t="n">
        <v>2</v>
      </c>
      <c r="I25" s="25" t="n">
        <f aca="false">IFERROR(INDEX(Products!$C$2:$C$13,MATCH(F25,Products!$A$2:$A$13,0)),0)</f>
        <v>950</v>
      </c>
      <c r="J25" s="25" t="n">
        <f aca="false">H25*I25</f>
        <v>1900</v>
      </c>
      <c r="K25" s="25" t="n">
        <f aca="false">IFERROR(INDEX(Products!$D$2:$D$13,MATCH(F25,Products!$A$2:$A$13,0)),0)</f>
        <v>720</v>
      </c>
      <c r="L25" s="25" t="n">
        <f aca="false">H25*K25</f>
        <v>1440</v>
      </c>
      <c r="M25" s="25" t="n">
        <f aca="false">J25-L25</f>
        <v>460</v>
      </c>
    </row>
    <row r="26" customFormat="false" ht="15" hidden="false" customHeight="false" outlineLevel="0" collapsed="false">
      <c r="A26" s="23" t="s">
        <v>109</v>
      </c>
      <c r="B26" s="24" t="n">
        <v>45678</v>
      </c>
      <c r="C26" s="23" t="n">
        <f aca="false">MONTH(B26)</f>
        <v>1</v>
      </c>
      <c r="D26" s="23" t="s">
        <v>19</v>
      </c>
      <c r="E26" s="23" t="s">
        <v>73</v>
      </c>
      <c r="F26" s="23" t="s">
        <v>88</v>
      </c>
      <c r="G26" s="23" t="str">
        <f aca="false">IFERROR(INDEX(Products!$B$2:$B$13,MATCH(F26,Products!$A$2:$A$13,0)),"Unknown")</f>
        <v>Accessories</v>
      </c>
      <c r="H26" s="23" t="n">
        <v>3</v>
      </c>
      <c r="I26" s="25" t="n">
        <f aca="false">IFERROR(INDEX(Products!$C$2:$C$13,MATCH(F26,Products!$A$2:$A$13,0)),0)</f>
        <v>85</v>
      </c>
      <c r="J26" s="25" t="n">
        <f aca="false">H26*I26</f>
        <v>255</v>
      </c>
      <c r="K26" s="25" t="n">
        <f aca="false">IFERROR(INDEX(Products!$D$2:$D$13,MATCH(F26,Products!$A$2:$A$13,0)),0)</f>
        <v>38</v>
      </c>
      <c r="L26" s="25" t="n">
        <f aca="false">H26*K26</f>
        <v>114</v>
      </c>
      <c r="M26" s="25" t="n">
        <f aca="false">J26-L26</f>
        <v>141</v>
      </c>
    </row>
    <row r="27" customFormat="false" ht="15" hidden="false" customHeight="false" outlineLevel="0" collapsed="false">
      <c r="A27" s="23" t="s">
        <v>110</v>
      </c>
      <c r="B27" s="24" t="n">
        <v>45678</v>
      </c>
      <c r="C27" s="23" t="n">
        <f aca="false">MONTH(B27)</f>
        <v>1</v>
      </c>
      <c r="D27" s="23" t="s">
        <v>23</v>
      </c>
      <c r="E27" s="23" t="s">
        <v>77</v>
      </c>
      <c r="F27" s="23" t="s">
        <v>104</v>
      </c>
      <c r="G27" s="23" t="str">
        <f aca="false">IFERROR(INDEX(Products!$B$2:$B$13,MATCH(F27,Products!$A$2:$A$13,0)),"Unknown")</f>
        <v>Phones</v>
      </c>
      <c r="H27" s="23" t="n">
        <v>5</v>
      </c>
      <c r="I27" s="25" t="n">
        <f aca="false">IFERROR(INDEX(Products!$C$2:$C$13,MATCH(F27,Products!$A$2:$A$13,0)),0)</f>
        <v>290</v>
      </c>
      <c r="J27" s="25" t="n">
        <f aca="false">H27*I27</f>
        <v>1450</v>
      </c>
      <c r="K27" s="25" t="n">
        <f aca="false">IFERROR(INDEX(Products!$D$2:$D$13,MATCH(F27,Products!$A$2:$A$13,0)),0)</f>
        <v>205</v>
      </c>
      <c r="L27" s="25" t="n">
        <f aca="false">H27*K27</f>
        <v>1025</v>
      </c>
      <c r="M27" s="25" t="n">
        <f aca="false">J27-L27</f>
        <v>425</v>
      </c>
    </row>
    <row r="28" customFormat="false" ht="15" hidden="false" customHeight="false" outlineLevel="0" collapsed="false">
      <c r="A28" s="23" t="s">
        <v>111</v>
      </c>
      <c r="B28" s="24" t="n">
        <v>45679</v>
      </c>
      <c r="C28" s="23" t="n">
        <f aca="false">MONTH(B28)</f>
        <v>1</v>
      </c>
      <c r="D28" s="23" t="s">
        <v>21</v>
      </c>
      <c r="E28" s="23" t="s">
        <v>90</v>
      </c>
      <c r="F28" s="23" t="s">
        <v>79</v>
      </c>
      <c r="G28" s="23" t="str">
        <f aca="false">IFERROR(INDEX(Products!$B$2:$B$13,MATCH(F28,Products!$A$2:$A$13,0)),"Unknown")</f>
        <v>Accessories</v>
      </c>
      <c r="H28" s="23" t="n">
        <v>3</v>
      </c>
      <c r="I28" s="25" t="n">
        <f aca="false">IFERROR(INDEX(Products!$C$2:$C$13,MATCH(F28,Products!$A$2:$A$13,0)),0)</f>
        <v>190</v>
      </c>
      <c r="J28" s="25" t="n">
        <f aca="false">H28*I28</f>
        <v>570</v>
      </c>
      <c r="K28" s="25" t="n">
        <f aca="false">IFERROR(INDEX(Products!$D$2:$D$13,MATCH(F28,Products!$A$2:$A$13,0)),0)</f>
        <v>115</v>
      </c>
      <c r="L28" s="25" t="n">
        <f aca="false">H28*K28</f>
        <v>345</v>
      </c>
      <c r="M28" s="25" t="n">
        <f aca="false">J28-L28</f>
        <v>225</v>
      </c>
    </row>
    <row r="29" customFormat="false" ht="15" hidden="false" customHeight="false" outlineLevel="0" collapsed="false">
      <c r="A29" s="23" t="s">
        <v>112</v>
      </c>
      <c r="B29" s="24" t="n">
        <v>45679</v>
      </c>
      <c r="C29" s="23" t="n">
        <f aca="false">MONTH(B29)</f>
        <v>1</v>
      </c>
      <c r="D29" s="23" t="s">
        <v>21</v>
      </c>
      <c r="E29" s="23" t="s">
        <v>90</v>
      </c>
      <c r="F29" s="23" t="s">
        <v>79</v>
      </c>
      <c r="G29" s="23" t="str">
        <f aca="false">IFERROR(INDEX(Products!$B$2:$B$13,MATCH(F29,Products!$A$2:$A$13,0)),"Unknown")</f>
        <v>Accessories</v>
      </c>
      <c r="H29" s="23" t="n">
        <v>9</v>
      </c>
      <c r="I29" s="25" t="n">
        <f aca="false">IFERROR(INDEX(Products!$C$2:$C$13,MATCH(F29,Products!$A$2:$A$13,0)),0)</f>
        <v>190</v>
      </c>
      <c r="J29" s="25" t="n">
        <f aca="false">H29*I29</f>
        <v>1710</v>
      </c>
      <c r="K29" s="25" t="n">
        <f aca="false">IFERROR(INDEX(Products!$D$2:$D$13,MATCH(F29,Products!$A$2:$A$13,0)),0)</f>
        <v>115</v>
      </c>
      <c r="L29" s="25" t="n">
        <f aca="false">H29*K29</f>
        <v>1035</v>
      </c>
      <c r="M29" s="25" t="n">
        <f aca="false">J29-L29</f>
        <v>675</v>
      </c>
    </row>
    <row r="30" customFormat="false" ht="15" hidden="false" customHeight="false" outlineLevel="0" collapsed="false">
      <c r="A30" s="23" t="s">
        <v>113</v>
      </c>
      <c r="B30" s="24" t="n">
        <v>45679</v>
      </c>
      <c r="C30" s="23" t="n">
        <f aca="false">MONTH(B30)</f>
        <v>1</v>
      </c>
      <c r="D30" s="23" t="s">
        <v>23</v>
      </c>
      <c r="E30" s="23" t="s">
        <v>85</v>
      </c>
      <c r="F30" s="23" t="s">
        <v>74</v>
      </c>
      <c r="G30" s="23" t="str">
        <f aca="false">IFERROR(INDEX(Products!$B$2:$B$13,MATCH(F30,Products!$A$2:$A$13,0)),"Unknown")</f>
        <v>Monitors</v>
      </c>
      <c r="H30" s="23" t="n">
        <v>1</v>
      </c>
      <c r="I30" s="25" t="n">
        <f aca="false">IFERROR(INDEX(Products!$C$2:$C$13,MATCH(F30,Products!$A$2:$A$13,0)),0)</f>
        <v>310</v>
      </c>
      <c r="J30" s="25" t="n">
        <f aca="false">H30*I30</f>
        <v>310</v>
      </c>
      <c r="K30" s="25" t="n">
        <f aca="false">IFERROR(INDEX(Products!$D$2:$D$13,MATCH(F30,Products!$A$2:$A$13,0)),0)</f>
        <v>225</v>
      </c>
      <c r="L30" s="25" t="n">
        <f aca="false">H30*K30</f>
        <v>225</v>
      </c>
      <c r="M30" s="25" t="n">
        <f aca="false">J30-L30</f>
        <v>85</v>
      </c>
    </row>
    <row r="31" customFormat="false" ht="15" hidden="false" customHeight="false" outlineLevel="0" collapsed="false">
      <c r="A31" s="23" t="s">
        <v>114</v>
      </c>
      <c r="B31" s="24" t="n">
        <v>45680</v>
      </c>
      <c r="C31" s="23" t="n">
        <f aca="false">MONTH(B31)</f>
        <v>1</v>
      </c>
      <c r="D31" s="23" t="s">
        <v>23</v>
      </c>
      <c r="E31" s="23" t="s">
        <v>77</v>
      </c>
      <c r="F31" s="23" t="s">
        <v>104</v>
      </c>
      <c r="G31" s="23" t="str">
        <f aca="false">IFERROR(INDEX(Products!$B$2:$B$13,MATCH(F31,Products!$A$2:$A$13,0)),"Unknown")</f>
        <v>Phones</v>
      </c>
      <c r="H31" s="23" t="n">
        <v>1</v>
      </c>
      <c r="I31" s="25" t="n">
        <f aca="false">IFERROR(INDEX(Products!$C$2:$C$13,MATCH(F31,Products!$A$2:$A$13,0)),0)</f>
        <v>290</v>
      </c>
      <c r="J31" s="25" t="n">
        <f aca="false">H31*I31</f>
        <v>290</v>
      </c>
      <c r="K31" s="25" t="n">
        <f aca="false">IFERROR(INDEX(Products!$D$2:$D$13,MATCH(F31,Products!$A$2:$A$13,0)),0)</f>
        <v>205</v>
      </c>
      <c r="L31" s="25" t="n">
        <f aca="false">H31*K31</f>
        <v>205</v>
      </c>
      <c r="M31" s="25" t="n">
        <f aca="false">J31-L31</f>
        <v>85</v>
      </c>
    </row>
    <row r="32" customFormat="false" ht="15" hidden="false" customHeight="false" outlineLevel="0" collapsed="false">
      <c r="A32" s="23" t="s">
        <v>115</v>
      </c>
      <c r="B32" s="24" t="n">
        <v>45680</v>
      </c>
      <c r="C32" s="23" t="n">
        <f aca="false">MONTH(B32)</f>
        <v>1</v>
      </c>
      <c r="D32" s="23" t="s">
        <v>17</v>
      </c>
      <c r="E32" s="23" t="s">
        <v>116</v>
      </c>
      <c r="F32" s="23" t="s">
        <v>81</v>
      </c>
      <c r="G32" s="23" t="str">
        <f aca="false">IFERROR(INDEX(Products!$B$2:$B$13,MATCH(F32,Products!$A$2:$A$13,0)),"Unknown")</f>
        <v>Laptops</v>
      </c>
      <c r="H32" s="23" t="n">
        <v>2</v>
      </c>
      <c r="I32" s="25" t="n">
        <f aca="false">IFERROR(INDEX(Products!$C$2:$C$13,MATCH(F32,Products!$A$2:$A$13,0)),0)</f>
        <v>950</v>
      </c>
      <c r="J32" s="25" t="n">
        <f aca="false">H32*I32</f>
        <v>1900</v>
      </c>
      <c r="K32" s="25" t="n">
        <f aca="false">IFERROR(INDEX(Products!$D$2:$D$13,MATCH(F32,Products!$A$2:$A$13,0)),0)</f>
        <v>720</v>
      </c>
      <c r="L32" s="25" t="n">
        <f aca="false">H32*K32</f>
        <v>1440</v>
      </c>
      <c r="M32" s="25" t="n">
        <f aca="false">J32-L32</f>
        <v>460</v>
      </c>
    </row>
    <row r="33" customFormat="false" ht="15" hidden="false" customHeight="false" outlineLevel="0" collapsed="false">
      <c r="A33" s="23" t="s">
        <v>117</v>
      </c>
      <c r="B33" s="24" t="n">
        <v>45682</v>
      </c>
      <c r="C33" s="23" t="n">
        <f aca="false">MONTH(B33)</f>
        <v>1</v>
      </c>
      <c r="D33" s="23" t="s">
        <v>21</v>
      </c>
      <c r="E33" s="23" t="s">
        <v>90</v>
      </c>
      <c r="F33" s="23" t="s">
        <v>68</v>
      </c>
      <c r="G33" s="23" t="str">
        <f aca="false">IFERROR(INDEX(Products!$B$2:$B$13,MATCH(F33,Products!$A$2:$A$13,0)),"Unknown")</f>
        <v>Laptops</v>
      </c>
      <c r="H33" s="23" t="n">
        <v>4</v>
      </c>
      <c r="I33" s="25" t="n">
        <f aca="false">IFERROR(INDEX(Products!$C$2:$C$13,MATCH(F33,Products!$A$2:$A$13,0)),0)</f>
        <v>780</v>
      </c>
      <c r="J33" s="25" t="n">
        <f aca="false">H33*I33</f>
        <v>3120</v>
      </c>
      <c r="K33" s="25" t="n">
        <f aca="false">IFERROR(INDEX(Products!$D$2:$D$13,MATCH(F33,Products!$A$2:$A$13,0)),0)</f>
        <v>590</v>
      </c>
      <c r="L33" s="25" t="n">
        <f aca="false">H33*K33</f>
        <v>2360</v>
      </c>
      <c r="M33" s="25" t="n">
        <f aca="false">J33-L33</f>
        <v>760</v>
      </c>
    </row>
    <row r="34" customFormat="false" ht="15" hidden="false" customHeight="false" outlineLevel="0" collapsed="false">
      <c r="A34" s="23" t="s">
        <v>118</v>
      </c>
      <c r="B34" s="24" t="n">
        <v>45683</v>
      </c>
      <c r="C34" s="23" t="n">
        <f aca="false">MONTH(B34)</f>
        <v>1</v>
      </c>
      <c r="D34" s="23" t="s">
        <v>23</v>
      </c>
      <c r="E34" s="23" t="s">
        <v>85</v>
      </c>
      <c r="F34" s="23" t="s">
        <v>88</v>
      </c>
      <c r="G34" s="23" t="str">
        <f aca="false">IFERROR(INDEX(Products!$B$2:$B$13,MATCH(F34,Products!$A$2:$A$13,0)),"Unknown")</f>
        <v>Accessories</v>
      </c>
      <c r="H34" s="23" t="n">
        <v>12</v>
      </c>
      <c r="I34" s="25" t="n">
        <f aca="false">IFERROR(INDEX(Products!$C$2:$C$13,MATCH(F34,Products!$A$2:$A$13,0)),0)</f>
        <v>85</v>
      </c>
      <c r="J34" s="25" t="n">
        <f aca="false">H34*I34</f>
        <v>1020</v>
      </c>
      <c r="K34" s="25" t="n">
        <f aca="false">IFERROR(INDEX(Products!$D$2:$D$13,MATCH(F34,Products!$A$2:$A$13,0)),0)</f>
        <v>38</v>
      </c>
      <c r="L34" s="25" t="n">
        <f aca="false">H34*K34</f>
        <v>456</v>
      </c>
      <c r="M34" s="25" t="n">
        <f aca="false">J34-L34</f>
        <v>564</v>
      </c>
    </row>
    <row r="35" customFormat="false" ht="15" hidden="false" customHeight="false" outlineLevel="0" collapsed="false">
      <c r="A35" s="23" t="s">
        <v>119</v>
      </c>
      <c r="B35" s="24" t="n">
        <v>45684</v>
      </c>
      <c r="C35" s="23" t="n">
        <f aca="false">MONTH(B35)</f>
        <v>1</v>
      </c>
      <c r="D35" s="23" t="s">
        <v>17</v>
      </c>
      <c r="E35" s="23" t="s">
        <v>116</v>
      </c>
      <c r="F35" s="23" t="s">
        <v>71</v>
      </c>
      <c r="G35" s="23" t="str">
        <f aca="false">IFERROR(INDEX(Products!$B$2:$B$13,MATCH(F35,Products!$A$2:$A$13,0)),"Unknown")</f>
        <v>Accessories</v>
      </c>
      <c r="H35" s="23" t="n">
        <v>12</v>
      </c>
      <c r="I35" s="25" t="n">
        <f aca="false">IFERROR(INDEX(Products!$C$2:$C$13,MATCH(F35,Products!$A$2:$A$13,0)),0)</f>
        <v>45</v>
      </c>
      <c r="J35" s="25" t="n">
        <f aca="false">H35*I35</f>
        <v>540</v>
      </c>
      <c r="K35" s="25" t="n">
        <f aca="false">IFERROR(INDEX(Products!$D$2:$D$13,MATCH(F35,Products!$A$2:$A$13,0)),0)</f>
        <v>18</v>
      </c>
      <c r="L35" s="25" t="n">
        <f aca="false">H35*K35</f>
        <v>216</v>
      </c>
      <c r="M35" s="25" t="n">
        <f aca="false">J35-L35</f>
        <v>324</v>
      </c>
    </row>
    <row r="36" customFormat="false" ht="15" hidden="false" customHeight="false" outlineLevel="0" collapsed="false">
      <c r="A36" s="23" t="s">
        <v>120</v>
      </c>
      <c r="B36" s="24" t="n">
        <v>45684</v>
      </c>
      <c r="C36" s="23" t="n">
        <f aca="false">MONTH(B36)</f>
        <v>1</v>
      </c>
      <c r="D36" s="23" t="s">
        <v>19</v>
      </c>
      <c r="E36" s="23" t="s">
        <v>73</v>
      </c>
      <c r="F36" s="23" t="s">
        <v>68</v>
      </c>
      <c r="G36" s="23" t="str">
        <f aca="false">IFERROR(INDEX(Products!$B$2:$B$13,MATCH(F36,Products!$A$2:$A$13,0)),"Unknown")</f>
        <v>Laptops</v>
      </c>
      <c r="H36" s="23" t="n">
        <v>1</v>
      </c>
      <c r="I36" s="25" t="n">
        <f aca="false">IFERROR(INDEX(Products!$C$2:$C$13,MATCH(F36,Products!$A$2:$A$13,0)),0)</f>
        <v>780</v>
      </c>
      <c r="J36" s="25" t="n">
        <f aca="false">H36*I36</f>
        <v>780</v>
      </c>
      <c r="K36" s="25" t="n">
        <f aca="false">IFERROR(INDEX(Products!$D$2:$D$13,MATCH(F36,Products!$A$2:$A$13,0)),0)</f>
        <v>590</v>
      </c>
      <c r="L36" s="25" t="n">
        <f aca="false">H36*K36</f>
        <v>590</v>
      </c>
      <c r="M36" s="25" t="n">
        <f aca="false">J36-L36</f>
        <v>190</v>
      </c>
    </row>
    <row r="37" customFormat="false" ht="15" hidden="false" customHeight="false" outlineLevel="0" collapsed="false">
      <c r="A37" s="23" t="s">
        <v>121</v>
      </c>
      <c r="B37" s="24" t="n">
        <v>45684</v>
      </c>
      <c r="C37" s="23" t="n">
        <f aca="false">MONTH(B37)</f>
        <v>1</v>
      </c>
      <c r="D37" s="23" t="s">
        <v>21</v>
      </c>
      <c r="E37" s="23" t="s">
        <v>90</v>
      </c>
      <c r="F37" s="23" t="s">
        <v>83</v>
      </c>
      <c r="G37" s="23" t="str">
        <f aca="false">IFERROR(INDEX(Products!$B$2:$B$13,MATCH(F37,Products!$A$2:$A$13,0)),"Unknown")</f>
        <v>Phones</v>
      </c>
      <c r="H37" s="23" t="n">
        <v>2</v>
      </c>
      <c r="I37" s="25" t="n">
        <f aca="false">IFERROR(INDEX(Products!$C$2:$C$13,MATCH(F37,Products!$A$2:$A$13,0)),0)</f>
        <v>640</v>
      </c>
      <c r="J37" s="25" t="n">
        <f aca="false">H37*I37</f>
        <v>1280</v>
      </c>
      <c r="K37" s="25" t="n">
        <f aca="false">IFERROR(INDEX(Products!$D$2:$D$13,MATCH(F37,Products!$A$2:$A$13,0)),0)</f>
        <v>470</v>
      </c>
      <c r="L37" s="25" t="n">
        <f aca="false">H37*K37</f>
        <v>940</v>
      </c>
      <c r="M37" s="25" t="n">
        <f aca="false">J37-L37</f>
        <v>340</v>
      </c>
    </row>
    <row r="38" customFormat="false" ht="15" hidden="false" customHeight="false" outlineLevel="0" collapsed="false">
      <c r="A38" s="23" t="s">
        <v>122</v>
      </c>
      <c r="B38" s="24" t="n">
        <v>45689</v>
      </c>
      <c r="C38" s="23" t="n">
        <f aca="false">MONTH(B38)</f>
        <v>2</v>
      </c>
      <c r="D38" s="23" t="s">
        <v>23</v>
      </c>
      <c r="E38" s="23" t="s">
        <v>85</v>
      </c>
      <c r="F38" s="23" t="s">
        <v>83</v>
      </c>
      <c r="G38" s="23" t="str">
        <f aca="false">IFERROR(INDEX(Products!$B$2:$B$13,MATCH(F38,Products!$A$2:$A$13,0)),"Unknown")</f>
        <v>Phones</v>
      </c>
      <c r="H38" s="23" t="n">
        <v>5</v>
      </c>
      <c r="I38" s="25" t="n">
        <f aca="false">IFERROR(INDEX(Products!$C$2:$C$13,MATCH(F38,Products!$A$2:$A$13,0)),0)</f>
        <v>640</v>
      </c>
      <c r="J38" s="25" t="n">
        <f aca="false">H38*I38</f>
        <v>3200</v>
      </c>
      <c r="K38" s="25" t="n">
        <f aca="false">IFERROR(INDEX(Products!$D$2:$D$13,MATCH(F38,Products!$A$2:$A$13,0)),0)</f>
        <v>470</v>
      </c>
      <c r="L38" s="25" t="n">
        <f aca="false">H38*K38</f>
        <v>2350</v>
      </c>
      <c r="M38" s="25" t="n">
        <f aca="false">J38-L38</f>
        <v>850</v>
      </c>
    </row>
    <row r="39" customFormat="false" ht="15" hidden="false" customHeight="false" outlineLevel="0" collapsed="false">
      <c r="A39" s="23" t="s">
        <v>123</v>
      </c>
      <c r="B39" s="24" t="n">
        <v>45690</v>
      </c>
      <c r="C39" s="23" t="n">
        <f aca="false">MONTH(B39)</f>
        <v>2</v>
      </c>
      <c r="D39" s="23" t="s">
        <v>17</v>
      </c>
      <c r="E39" s="23" t="s">
        <v>67</v>
      </c>
      <c r="F39" s="23" t="s">
        <v>79</v>
      </c>
      <c r="G39" s="23" t="str">
        <f aca="false">IFERROR(INDEX(Products!$B$2:$B$13,MATCH(F39,Products!$A$2:$A$13,0)),"Unknown")</f>
        <v>Accessories</v>
      </c>
      <c r="H39" s="23" t="n">
        <v>3</v>
      </c>
      <c r="I39" s="25" t="n">
        <f aca="false">IFERROR(INDEX(Products!$C$2:$C$13,MATCH(F39,Products!$A$2:$A$13,0)),0)</f>
        <v>190</v>
      </c>
      <c r="J39" s="25" t="n">
        <f aca="false">H39*I39</f>
        <v>570</v>
      </c>
      <c r="K39" s="25" t="n">
        <f aca="false">IFERROR(INDEX(Products!$D$2:$D$13,MATCH(F39,Products!$A$2:$A$13,0)),0)</f>
        <v>115</v>
      </c>
      <c r="L39" s="25" t="n">
        <f aca="false">H39*K39</f>
        <v>345</v>
      </c>
      <c r="M39" s="25" t="n">
        <f aca="false">J39-L39</f>
        <v>225</v>
      </c>
    </row>
    <row r="40" customFormat="false" ht="15" hidden="false" customHeight="false" outlineLevel="0" collapsed="false">
      <c r="A40" s="23" t="s">
        <v>124</v>
      </c>
      <c r="B40" s="24" t="n">
        <v>45691</v>
      </c>
      <c r="C40" s="23" t="n">
        <f aca="false">MONTH(B40)</f>
        <v>2</v>
      </c>
      <c r="D40" s="23" t="s">
        <v>17</v>
      </c>
      <c r="E40" s="23" t="s">
        <v>67</v>
      </c>
      <c r="F40" s="23" t="s">
        <v>71</v>
      </c>
      <c r="G40" s="23" t="str">
        <f aca="false">IFERROR(INDEX(Products!$B$2:$B$13,MATCH(F40,Products!$A$2:$A$13,0)),"Unknown")</f>
        <v>Accessories</v>
      </c>
      <c r="H40" s="23" t="n">
        <v>3</v>
      </c>
      <c r="I40" s="25" t="n">
        <f aca="false">IFERROR(INDEX(Products!$C$2:$C$13,MATCH(F40,Products!$A$2:$A$13,0)),0)</f>
        <v>45</v>
      </c>
      <c r="J40" s="25" t="n">
        <f aca="false">H40*I40</f>
        <v>135</v>
      </c>
      <c r="K40" s="25" t="n">
        <f aca="false">IFERROR(INDEX(Products!$D$2:$D$13,MATCH(F40,Products!$A$2:$A$13,0)),0)</f>
        <v>18</v>
      </c>
      <c r="L40" s="25" t="n">
        <f aca="false">H40*K40</f>
        <v>54</v>
      </c>
      <c r="M40" s="25" t="n">
        <f aca="false">J40-L40</f>
        <v>81</v>
      </c>
    </row>
    <row r="41" customFormat="false" ht="15" hidden="false" customHeight="false" outlineLevel="0" collapsed="false">
      <c r="A41" s="23" t="s">
        <v>125</v>
      </c>
      <c r="B41" s="24" t="n">
        <v>45692</v>
      </c>
      <c r="C41" s="23" t="n">
        <f aca="false">MONTH(B41)</f>
        <v>2</v>
      </c>
      <c r="D41" s="23" t="s">
        <v>23</v>
      </c>
      <c r="E41" s="23" t="s">
        <v>85</v>
      </c>
      <c r="F41" s="23" t="s">
        <v>104</v>
      </c>
      <c r="G41" s="23" t="str">
        <f aca="false">IFERROR(INDEX(Products!$B$2:$B$13,MATCH(F41,Products!$A$2:$A$13,0)),"Unknown")</f>
        <v>Phones</v>
      </c>
      <c r="H41" s="23" t="n">
        <v>4</v>
      </c>
      <c r="I41" s="25" t="n">
        <f aca="false">IFERROR(INDEX(Products!$C$2:$C$13,MATCH(F41,Products!$A$2:$A$13,0)),0)</f>
        <v>290</v>
      </c>
      <c r="J41" s="25" t="n">
        <f aca="false">H41*I41</f>
        <v>1160</v>
      </c>
      <c r="K41" s="25" t="n">
        <f aca="false">IFERROR(INDEX(Products!$D$2:$D$13,MATCH(F41,Products!$A$2:$A$13,0)),0)</f>
        <v>205</v>
      </c>
      <c r="L41" s="25" t="n">
        <f aca="false">H41*K41</f>
        <v>820</v>
      </c>
      <c r="M41" s="25" t="n">
        <f aca="false">J41-L41</f>
        <v>340</v>
      </c>
    </row>
    <row r="42" customFormat="false" ht="15" hidden="false" customHeight="false" outlineLevel="0" collapsed="false">
      <c r="A42" s="23" t="s">
        <v>126</v>
      </c>
      <c r="B42" s="24" t="n">
        <v>45692</v>
      </c>
      <c r="C42" s="23" t="n">
        <f aca="false">MONTH(B42)</f>
        <v>2</v>
      </c>
      <c r="D42" s="23" t="s">
        <v>17</v>
      </c>
      <c r="E42" s="23" t="s">
        <v>67</v>
      </c>
      <c r="F42" s="23" t="s">
        <v>74</v>
      </c>
      <c r="G42" s="23" t="str">
        <f aca="false">IFERROR(INDEX(Products!$B$2:$B$13,MATCH(F42,Products!$A$2:$A$13,0)),"Unknown")</f>
        <v>Monitors</v>
      </c>
      <c r="H42" s="23" t="n">
        <v>1</v>
      </c>
      <c r="I42" s="25" t="n">
        <f aca="false">IFERROR(INDEX(Products!$C$2:$C$13,MATCH(F42,Products!$A$2:$A$13,0)),0)</f>
        <v>310</v>
      </c>
      <c r="J42" s="25" t="n">
        <f aca="false">H42*I42</f>
        <v>310</v>
      </c>
      <c r="K42" s="25" t="n">
        <f aca="false">IFERROR(INDEX(Products!$D$2:$D$13,MATCH(F42,Products!$A$2:$A$13,0)),0)</f>
        <v>225</v>
      </c>
      <c r="L42" s="25" t="n">
        <f aca="false">H42*K42</f>
        <v>225</v>
      </c>
      <c r="M42" s="25" t="n">
        <f aca="false">J42-L42</f>
        <v>85</v>
      </c>
    </row>
    <row r="43" customFormat="false" ht="15" hidden="false" customHeight="false" outlineLevel="0" collapsed="false">
      <c r="A43" s="23" t="s">
        <v>127</v>
      </c>
      <c r="B43" s="24" t="n">
        <v>45693</v>
      </c>
      <c r="C43" s="23" t="n">
        <f aca="false">MONTH(B43)</f>
        <v>2</v>
      </c>
      <c r="D43" s="23" t="s">
        <v>21</v>
      </c>
      <c r="E43" s="23" t="s">
        <v>87</v>
      </c>
      <c r="F43" s="23" t="s">
        <v>71</v>
      </c>
      <c r="G43" s="23" t="str">
        <f aca="false">IFERROR(INDEX(Products!$B$2:$B$13,MATCH(F43,Products!$A$2:$A$13,0)),"Unknown")</f>
        <v>Accessories</v>
      </c>
      <c r="H43" s="23" t="n">
        <v>6</v>
      </c>
      <c r="I43" s="25" t="n">
        <f aca="false">IFERROR(INDEX(Products!$C$2:$C$13,MATCH(F43,Products!$A$2:$A$13,0)),0)</f>
        <v>45</v>
      </c>
      <c r="J43" s="25" t="n">
        <f aca="false">H43*I43</f>
        <v>270</v>
      </c>
      <c r="K43" s="25" t="n">
        <f aca="false">IFERROR(INDEX(Products!$D$2:$D$13,MATCH(F43,Products!$A$2:$A$13,0)),0)</f>
        <v>18</v>
      </c>
      <c r="L43" s="25" t="n">
        <f aca="false">H43*K43</f>
        <v>108</v>
      </c>
      <c r="M43" s="25" t="n">
        <f aca="false">J43-L43</f>
        <v>162</v>
      </c>
    </row>
    <row r="44" customFormat="false" ht="15" hidden="false" customHeight="false" outlineLevel="0" collapsed="false">
      <c r="A44" s="23" t="s">
        <v>128</v>
      </c>
      <c r="B44" s="24" t="n">
        <v>45693</v>
      </c>
      <c r="C44" s="23" t="n">
        <f aca="false">MONTH(B44)</f>
        <v>2</v>
      </c>
      <c r="D44" s="23" t="s">
        <v>17</v>
      </c>
      <c r="E44" s="23" t="s">
        <v>116</v>
      </c>
      <c r="F44" s="23" t="s">
        <v>104</v>
      </c>
      <c r="G44" s="23" t="str">
        <f aca="false">IFERROR(INDEX(Products!$B$2:$B$13,MATCH(F44,Products!$A$2:$A$13,0)),"Unknown")</f>
        <v>Phones</v>
      </c>
      <c r="H44" s="23" t="n">
        <v>1</v>
      </c>
      <c r="I44" s="25" t="n">
        <f aca="false">IFERROR(INDEX(Products!$C$2:$C$13,MATCH(F44,Products!$A$2:$A$13,0)),0)</f>
        <v>290</v>
      </c>
      <c r="J44" s="25" t="n">
        <f aca="false">H44*I44</f>
        <v>290</v>
      </c>
      <c r="K44" s="25" t="n">
        <f aca="false">IFERROR(INDEX(Products!$D$2:$D$13,MATCH(F44,Products!$A$2:$A$13,0)),0)</f>
        <v>205</v>
      </c>
      <c r="L44" s="25" t="n">
        <f aca="false">H44*K44</f>
        <v>205</v>
      </c>
      <c r="M44" s="25" t="n">
        <f aca="false">J44-L44</f>
        <v>85</v>
      </c>
    </row>
    <row r="45" customFormat="false" ht="15" hidden="false" customHeight="false" outlineLevel="0" collapsed="false">
      <c r="A45" s="23" t="s">
        <v>129</v>
      </c>
      <c r="B45" s="24" t="n">
        <v>45694</v>
      </c>
      <c r="C45" s="23" t="n">
        <f aca="false">MONTH(B45)</f>
        <v>2</v>
      </c>
      <c r="D45" s="23" t="s">
        <v>21</v>
      </c>
      <c r="E45" s="23" t="s">
        <v>87</v>
      </c>
      <c r="F45" s="23" t="s">
        <v>91</v>
      </c>
      <c r="G45" s="23" t="str">
        <f aca="false">IFERROR(INDEX(Products!$B$2:$B$13,MATCH(F45,Products!$A$2:$A$13,0)),"Unknown")</f>
        <v>Tablets</v>
      </c>
      <c r="H45" s="23" t="n">
        <v>1</v>
      </c>
      <c r="I45" s="25" t="n">
        <f aca="false">IFERROR(INDEX(Products!$C$2:$C$13,MATCH(F45,Products!$A$2:$A$13,0)),0)</f>
        <v>420</v>
      </c>
      <c r="J45" s="25" t="n">
        <f aca="false">H45*I45</f>
        <v>420</v>
      </c>
      <c r="K45" s="25" t="n">
        <f aca="false">IFERROR(INDEX(Products!$D$2:$D$13,MATCH(F45,Products!$A$2:$A$13,0)),0)</f>
        <v>300</v>
      </c>
      <c r="L45" s="25" t="n">
        <f aca="false">H45*K45</f>
        <v>300</v>
      </c>
      <c r="M45" s="25" t="n">
        <f aca="false">J45-L45</f>
        <v>120</v>
      </c>
    </row>
    <row r="46" customFormat="false" ht="15" hidden="false" customHeight="false" outlineLevel="0" collapsed="false">
      <c r="A46" s="23" t="s">
        <v>130</v>
      </c>
      <c r="B46" s="24" t="n">
        <v>45695</v>
      </c>
      <c r="C46" s="23" t="n">
        <f aca="false">MONTH(B46)</f>
        <v>2</v>
      </c>
      <c r="D46" s="23" t="s">
        <v>19</v>
      </c>
      <c r="E46" s="23" t="s">
        <v>70</v>
      </c>
      <c r="F46" s="23" t="s">
        <v>96</v>
      </c>
      <c r="G46" s="23" t="str">
        <f aca="false">IFERROR(INDEX(Products!$B$2:$B$13,MATCH(F46,Products!$A$2:$A$13,0)),"Unknown")</f>
        <v>Tablets</v>
      </c>
      <c r="H46" s="23" t="n">
        <v>1</v>
      </c>
      <c r="I46" s="25" t="n">
        <f aca="false">IFERROR(INDEX(Products!$C$2:$C$13,MATCH(F46,Products!$A$2:$A$13,0)),0)</f>
        <v>260</v>
      </c>
      <c r="J46" s="25" t="n">
        <f aca="false">H46*I46</f>
        <v>260</v>
      </c>
      <c r="K46" s="25" t="n">
        <f aca="false">IFERROR(INDEX(Products!$D$2:$D$13,MATCH(F46,Products!$A$2:$A$13,0)),0)</f>
        <v>180</v>
      </c>
      <c r="L46" s="25" t="n">
        <f aca="false">H46*K46</f>
        <v>180</v>
      </c>
      <c r="M46" s="25" t="n">
        <f aca="false">J46-L46</f>
        <v>80</v>
      </c>
    </row>
    <row r="47" customFormat="false" ht="15" hidden="false" customHeight="false" outlineLevel="0" collapsed="false">
      <c r="A47" s="23" t="s">
        <v>131</v>
      </c>
      <c r="B47" s="24" t="n">
        <v>45695</v>
      </c>
      <c r="C47" s="23" t="n">
        <f aca="false">MONTH(B47)</f>
        <v>2</v>
      </c>
      <c r="D47" s="23" t="s">
        <v>23</v>
      </c>
      <c r="E47" s="23" t="s">
        <v>85</v>
      </c>
      <c r="F47" s="23" t="s">
        <v>71</v>
      </c>
      <c r="G47" s="23" t="str">
        <f aca="false">IFERROR(INDEX(Products!$B$2:$B$13,MATCH(F47,Products!$A$2:$A$13,0)),"Unknown")</f>
        <v>Accessories</v>
      </c>
      <c r="H47" s="23" t="n">
        <v>3</v>
      </c>
      <c r="I47" s="25" t="n">
        <f aca="false">IFERROR(INDEX(Products!$C$2:$C$13,MATCH(F47,Products!$A$2:$A$13,0)),0)</f>
        <v>45</v>
      </c>
      <c r="J47" s="25" t="n">
        <f aca="false">H47*I47</f>
        <v>135</v>
      </c>
      <c r="K47" s="25" t="n">
        <f aca="false">IFERROR(INDEX(Products!$D$2:$D$13,MATCH(F47,Products!$A$2:$A$13,0)),0)</f>
        <v>18</v>
      </c>
      <c r="L47" s="25" t="n">
        <f aca="false">H47*K47</f>
        <v>54</v>
      </c>
      <c r="M47" s="25" t="n">
        <f aca="false">J47-L47</f>
        <v>81</v>
      </c>
    </row>
    <row r="48" customFormat="false" ht="15" hidden="false" customHeight="false" outlineLevel="0" collapsed="false">
      <c r="A48" s="23" t="s">
        <v>132</v>
      </c>
      <c r="B48" s="24" t="n">
        <v>45695</v>
      </c>
      <c r="C48" s="23" t="n">
        <f aca="false">MONTH(B48)</f>
        <v>2</v>
      </c>
      <c r="D48" s="23" t="s">
        <v>21</v>
      </c>
      <c r="E48" s="23" t="s">
        <v>90</v>
      </c>
      <c r="F48" s="23" t="s">
        <v>83</v>
      </c>
      <c r="G48" s="23" t="str">
        <f aca="false">IFERROR(INDEX(Products!$B$2:$B$13,MATCH(F48,Products!$A$2:$A$13,0)),"Unknown")</f>
        <v>Phones</v>
      </c>
      <c r="H48" s="23" t="n">
        <v>4</v>
      </c>
      <c r="I48" s="25" t="n">
        <f aca="false">IFERROR(INDEX(Products!$C$2:$C$13,MATCH(F48,Products!$A$2:$A$13,0)),0)</f>
        <v>640</v>
      </c>
      <c r="J48" s="25" t="n">
        <f aca="false">H48*I48</f>
        <v>2560</v>
      </c>
      <c r="K48" s="25" t="n">
        <f aca="false">IFERROR(INDEX(Products!$D$2:$D$13,MATCH(F48,Products!$A$2:$A$13,0)),0)</f>
        <v>470</v>
      </c>
      <c r="L48" s="25" t="n">
        <f aca="false">H48*K48</f>
        <v>1880</v>
      </c>
      <c r="M48" s="25" t="n">
        <f aca="false">J48-L48</f>
        <v>680</v>
      </c>
    </row>
    <row r="49" customFormat="false" ht="15" hidden="false" customHeight="false" outlineLevel="0" collapsed="false">
      <c r="A49" s="23" t="s">
        <v>133</v>
      </c>
      <c r="B49" s="24" t="n">
        <v>45695</v>
      </c>
      <c r="C49" s="23" t="n">
        <f aca="false">MONTH(B49)</f>
        <v>2</v>
      </c>
      <c r="D49" s="23" t="s">
        <v>19</v>
      </c>
      <c r="E49" s="23" t="s">
        <v>70</v>
      </c>
      <c r="F49" s="23" t="s">
        <v>88</v>
      </c>
      <c r="G49" s="23" t="str">
        <f aca="false">IFERROR(INDEX(Products!$B$2:$B$13,MATCH(F49,Products!$A$2:$A$13,0)),"Unknown")</f>
        <v>Accessories</v>
      </c>
      <c r="H49" s="23" t="n">
        <v>9</v>
      </c>
      <c r="I49" s="25" t="n">
        <f aca="false">IFERROR(INDEX(Products!$C$2:$C$13,MATCH(F49,Products!$A$2:$A$13,0)),0)</f>
        <v>85</v>
      </c>
      <c r="J49" s="25" t="n">
        <f aca="false">H49*I49</f>
        <v>765</v>
      </c>
      <c r="K49" s="25" t="n">
        <f aca="false">IFERROR(INDEX(Products!$D$2:$D$13,MATCH(F49,Products!$A$2:$A$13,0)),0)</f>
        <v>38</v>
      </c>
      <c r="L49" s="25" t="n">
        <f aca="false">H49*K49</f>
        <v>342</v>
      </c>
      <c r="M49" s="25" t="n">
        <f aca="false">J49-L49</f>
        <v>423</v>
      </c>
    </row>
    <row r="50" customFormat="false" ht="15" hidden="false" customHeight="false" outlineLevel="0" collapsed="false">
      <c r="A50" s="23" t="s">
        <v>134</v>
      </c>
      <c r="B50" s="24" t="n">
        <v>45696</v>
      </c>
      <c r="C50" s="23" t="n">
        <f aca="false">MONTH(B50)</f>
        <v>2</v>
      </c>
      <c r="D50" s="23" t="s">
        <v>23</v>
      </c>
      <c r="E50" s="23" t="s">
        <v>77</v>
      </c>
      <c r="F50" s="23" t="s">
        <v>71</v>
      </c>
      <c r="G50" s="23" t="str">
        <f aca="false">IFERROR(INDEX(Products!$B$2:$B$13,MATCH(F50,Products!$A$2:$A$13,0)),"Unknown")</f>
        <v>Accessories</v>
      </c>
      <c r="H50" s="23" t="n">
        <v>6</v>
      </c>
      <c r="I50" s="25" t="n">
        <f aca="false">IFERROR(INDEX(Products!$C$2:$C$13,MATCH(F50,Products!$A$2:$A$13,0)),0)</f>
        <v>45</v>
      </c>
      <c r="J50" s="25" t="n">
        <f aca="false">H50*I50</f>
        <v>270</v>
      </c>
      <c r="K50" s="25" t="n">
        <f aca="false">IFERROR(INDEX(Products!$D$2:$D$13,MATCH(F50,Products!$A$2:$A$13,0)),0)</f>
        <v>18</v>
      </c>
      <c r="L50" s="25" t="n">
        <f aca="false">H50*K50</f>
        <v>108</v>
      </c>
      <c r="M50" s="25" t="n">
        <f aca="false">J50-L50</f>
        <v>162</v>
      </c>
    </row>
    <row r="51" customFormat="false" ht="15" hidden="false" customHeight="false" outlineLevel="0" collapsed="false">
      <c r="A51" s="23" t="s">
        <v>135</v>
      </c>
      <c r="B51" s="24" t="n">
        <v>45697</v>
      </c>
      <c r="C51" s="23" t="n">
        <f aca="false">MONTH(B51)</f>
        <v>2</v>
      </c>
      <c r="D51" s="23" t="s">
        <v>23</v>
      </c>
      <c r="E51" s="23" t="s">
        <v>85</v>
      </c>
      <c r="F51" s="23" t="s">
        <v>83</v>
      </c>
      <c r="G51" s="23" t="str">
        <f aca="false">IFERROR(INDEX(Products!$B$2:$B$13,MATCH(F51,Products!$A$2:$A$13,0)),"Unknown")</f>
        <v>Phones</v>
      </c>
      <c r="H51" s="23" t="n">
        <v>1</v>
      </c>
      <c r="I51" s="25" t="n">
        <f aca="false">IFERROR(INDEX(Products!$C$2:$C$13,MATCH(F51,Products!$A$2:$A$13,0)),0)</f>
        <v>640</v>
      </c>
      <c r="J51" s="25" t="n">
        <f aca="false">H51*I51</f>
        <v>640</v>
      </c>
      <c r="K51" s="25" t="n">
        <f aca="false">IFERROR(INDEX(Products!$D$2:$D$13,MATCH(F51,Products!$A$2:$A$13,0)),0)</f>
        <v>470</v>
      </c>
      <c r="L51" s="25" t="n">
        <f aca="false">H51*K51</f>
        <v>470</v>
      </c>
      <c r="M51" s="25" t="n">
        <f aca="false">J51-L51</f>
        <v>170</v>
      </c>
    </row>
    <row r="52" customFormat="false" ht="15" hidden="false" customHeight="false" outlineLevel="0" collapsed="false">
      <c r="A52" s="23" t="s">
        <v>136</v>
      </c>
      <c r="B52" s="24" t="n">
        <v>45697</v>
      </c>
      <c r="C52" s="23" t="n">
        <f aca="false">MONTH(B52)</f>
        <v>2</v>
      </c>
      <c r="D52" s="23" t="s">
        <v>17</v>
      </c>
      <c r="E52" s="23" t="s">
        <v>116</v>
      </c>
      <c r="F52" s="23" t="s">
        <v>71</v>
      </c>
      <c r="G52" s="23" t="str">
        <f aca="false">IFERROR(INDEX(Products!$B$2:$B$13,MATCH(F52,Products!$A$2:$A$13,0)),"Unknown")</f>
        <v>Accessories</v>
      </c>
      <c r="H52" s="23" t="n">
        <v>3</v>
      </c>
      <c r="I52" s="25" t="n">
        <f aca="false">IFERROR(INDEX(Products!$C$2:$C$13,MATCH(F52,Products!$A$2:$A$13,0)),0)</f>
        <v>45</v>
      </c>
      <c r="J52" s="25" t="n">
        <f aca="false">H52*I52</f>
        <v>135</v>
      </c>
      <c r="K52" s="25" t="n">
        <f aca="false">IFERROR(INDEX(Products!$D$2:$D$13,MATCH(F52,Products!$A$2:$A$13,0)),0)</f>
        <v>18</v>
      </c>
      <c r="L52" s="25" t="n">
        <f aca="false">H52*K52</f>
        <v>54</v>
      </c>
      <c r="M52" s="25" t="n">
        <f aca="false">J52-L52</f>
        <v>81</v>
      </c>
    </row>
    <row r="53" customFormat="false" ht="15" hidden="false" customHeight="false" outlineLevel="0" collapsed="false">
      <c r="A53" s="23" t="s">
        <v>137</v>
      </c>
      <c r="B53" s="24" t="n">
        <v>45698</v>
      </c>
      <c r="C53" s="23" t="n">
        <f aca="false">MONTH(B53)</f>
        <v>2</v>
      </c>
      <c r="D53" s="23" t="s">
        <v>19</v>
      </c>
      <c r="E53" s="23" t="s">
        <v>73</v>
      </c>
      <c r="F53" s="23" t="s">
        <v>91</v>
      </c>
      <c r="G53" s="23" t="str">
        <f aca="false">IFERROR(INDEX(Products!$B$2:$B$13,MATCH(F53,Products!$A$2:$A$13,0)),"Unknown")</f>
        <v>Tablets</v>
      </c>
      <c r="H53" s="23" t="n">
        <v>2</v>
      </c>
      <c r="I53" s="25" t="n">
        <f aca="false">IFERROR(INDEX(Products!$C$2:$C$13,MATCH(F53,Products!$A$2:$A$13,0)),0)</f>
        <v>420</v>
      </c>
      <c r="J53" s="25" t="n">
        <f aca="false">H53*I53</f>
        <v>840</v>
      </c>
      <c r="K53" s="25" t="n">
        <f aca="false">IFERROR(INDEX(Products!$D$2:$D$13,MATCH(F53,Products!$A$2:$A$13,0)),0)</f>
        <v>300</v>
      </c>
      <c r="L53" s="25" t="n">
        <f aca="false">H53*K53</f>
        <v>600</v>
      </c>
      <c r="M53" s="25" t="n">
        <f aca="false">J53-L53</f>
        <v>240</v>
      </c>
    </row>
    <row r="54" customFormat="false" ht="15" hidden="false" customHeight="false" outlineLevel="0" collapsed="false">
      <c r="A54" s="23" t="s">
        <v>138</v>
      </c>
      <c r="B54" s="24" t="n">
        <v>45698</v>
      </c>
      <c r="C54" s="23" t="n">
        <f aca="false">MONTH(B54)</f>
        <v>2</v>
      </c>
      <c r="D54" s="23" t="s">
        <v>19</v>
      </c>
      <c r="E54" s="23" t="s">
        <v>70</v>
      </c>
      <c r="F54" s="23" t="s">
        <v>79</v>
      </c>
      <c r="G54" s="23" t="str">
        <f aca="false">IFERROR(INDEX(Products!$B$2:$B$13,MATCH(F54,Products!$A$2:$A$13,0)),"Unknown")</f>
        <v>Accessories</v>
      </c>
      <c r="H54" s="23" t="n">
        <v>6</v>
      </c>
      <c r="I54" s="25" t="n">
        <f aca="false">IFERROR(INDEX(Products!$C$2:$C$13,MATCH(F54,Products!$A$2:$A$13,0)),0)</f>
        <v>190</v>
      </c>
      <c r="J54" s="25" t="n">
        <f aca="false">H54*I54</f>
        <v>1140</v>
      </c>
      <c r="K54" s="25" t="n">
        <f aca="false">IFERROR(INDEX(Products!$D$2:$D$13,MATCH(F54,Products!$A$2:$A$13,0)),0)</f>
        <v>115</v>
      </c>
      <c r="L54" s="25" t="n">
        <f aca="false">H54*K54</f>
        <v>690</v>
      </c>
      <c r="M54" s="25" t="n">
        <f aca="false">J54-L54</f>
        <v>450</v>
      </c>
    </row>
    <row r="55" customFormat="false" ht="15" hidden="false" customHeight="false" outlineLevel="0" collapsed="false">
      <c r="A55" s="23" t="s">
        <v>139</v>
      </c>
      <c r="B55" s="24" t="n">
        <v>45699</v>
      </c>
      <c r="C55" s="23" t="n">
        <f aca="false">MONTH(B55)</f>
        <v>2</v>
      </c>
      <c r="D55" s="23" t="s">
        <v>19</v>
      </c>
      <c r="E55" s="23" t="s">
        <v>73</v>
      </c>
      <c r="F55" s="23" t="s">
        <v>88</v>
      </c>
      <c r="G55" s="23" t="str">
        <f aca="false">IFERROR(INDEX(Products!$B$2:$B$13,MATCH(F55,Products!$A$2:$A$13,0)),"Unknown")</f>
        <v>Accessories</v>
      </c>
      <c r="H55" s="23" t="n">
        <v>6</v>
      </c>
      <c r="I55" s="25" t="n">
        <f aca="false">IFERROR(INDEX(Products!$C$2:$C$13,MATCH(F55,Products!$A$2:$A$13,0)),0)</f>
        <v>85</v>
      </c>
      <c r="J55" s="25" t="n">
        <f aca="false">H55*I55</f>
        <v>510</v>
      </c>
      <c r="K55" s="25" t="n">
        <f aca="false">IFERROR(INDEX(Products!$D$2:$D$13,MATCH(F55,Products!$A$2:$A$13,0)),0)</f>
        <v>38</v>
      </c>
      <c r="L55" s="25" t="n">
        <f aca="false">H55*K55</f>
        <v>228</v>
      </c>
      <c r="M55" s="25" t="n">
        <f aca="false">J55-L55</f>
        <v>282</v>
      </c>
    </row>
    <row r="56" customFormat="false" ht="15" hidden="false" customHeight="false" outlineLevel="0" collapsed="false">
      <c r="A56" s="23" t="s">
        <v>140</v>
      </c>
      <c r="B56" s="24" t="n">
        <v>45701</v>
      </c>
      <c r="C56" s="23" t="n">
        <f aca="false">MONTH(B56)</f>
        <v>2</v>
      </c>
      <c r="D56" s="23" t="s">
        <v>21</v>
      </c>
      <c r="E56" s="23" t="s">
        <v>90</v>
      </c>
      <c r="F56" s="23" t="s">
        <v>71</v>
      </c>
      <c r="G56" s="23" t="str">
        <f aca="false">IFERROR(INDEX(Products!$B$2:$B$13,MATCH(F56,Products!$A$2:$A$13,0)),"Unknown")</f>
        <v>Accessories</v>
      </c>
      <c r="H56" s="23" t="n">
        <v>3</v>
      </c>
      <c r="I56" s="25" t="n">
        <f aca="false">IFERROR(INDEX(Products!$C$2:$C$13,MATCH(F56,Products!$A$2:$A$13,0)),0)</f>
        <v>45</v>
      </c>
      <c r="J56" s="25" t="n">
        <f aca="false">H56*I56</f>
        <v>135</v>
      </c>
      <c r="K56" s="25" t="n">
        <f aca="false">IFERROR(INDEX(Products!$D$2:$D$13,MATCH(F56,Products!$A$2:$A$13,0)),0)</f>
        <v>18</v>
      </c>
      <c r="L56" s="25" t="n">
        <f aca="false">H56*K56</f>
        <v>54</v>
      </c>
      <c r="M56" s="25" t="n">
        <f aca="false">J56-L56</f>
        <v>81</v>
      </c>
    </row>
    <row r="57" customFormat="false" ht="15" hidden="false" customHeight="false" outlineLevel="0" collapsed="false">
      <c r="A57" s="23" t="s">
        <v>141</v>
      </c>
      <c r="B57" s="24" t="n">
        <v>45702</v>
      </c>
      <c r="C57" s="23" t="n">
        <f aca="false">MONTH(B57)</f>
        <v>2</v>
      </c>
      <c r="D57" s="23" t="s">
        <v>23</v>
      </c>
      <c r="E57" s="23" t="s">
        <v>77</v>
      </c>
      <c r="F57" s="23" t="s">
        <v>68</v>
      </c>
      <c r="G57" s="23" t="str">
        <f aca="false">IFERROR(INDEX(Products!$B$2:$B$13,MATCH(F57,Products!$A$2:$A$13,0)),"Unknown")</f>
        <v>Laptops</v>
      </c>
      <c r="H57" s="23" t="n">
        <v>2</v>
      </c>
      <c r="I57" s="25" t="n">
        <f aca="false">IFERROR(INDEX(Products!$C$2:$C$13,MATCH(F57,Products!$A$2:$A$13,0)),0)</f>
        <v>780</v>
      </c>
      <c r="J57" s="25" t="n">
        <f aca="false">H57*I57</f>
        <v>1560</v>
      </c>
      <c r="K57" s="25" t="n">
        <f aca="false">IFERROR(INDEX(Products!$D$2:$D$13,MATCH(F57,Products!$A$2:$A$13,0)),0)</f>
        <v>590</v>
      </c>
      <c r="L57" s="25" t="n">
        <f aca="false">H57*K57</f>
        <v>1180</v>
      </c>
      <c r="M57" s="25" t="n">
        <f aca="false">J57-L57</f>
        <v>380</v>
      </c>
    </row>
    <row r="58" customFormat="false" ht="15" hidden="false" customHeight="false" outlineLevel="0" collapsed="false">
      <c r="A58" s="23" t="s">
        <v>142</v>
      </c>
      <c r="B58" s="24" t="n">
        <v>45703</v>
      </c>
      <c r="C58" s="23" t="n">
        <f aca="false">MONTH(B58)</f>
        <v>2</v>
      </c>
      <c r="D58" s="23" t="s">
        <v>17</v>
      </c>
      <c r="E58" s="23" t="s">
        <v>116</v>
      </c>
      <c r="F58" s="23" t="s">
        <v>81</v>
      </c>
      <c r="G58" s="23" t="str">
        <f aca="false">IFERROR(INDEX(Products!$B$2:$B$13,MATCH(F58,Products!$A$2:$A$13,0)),"Unknown")</f>
        <v>Laptops</v>
      </c>
      <c r="H58" s="23" t="n">
        <v>2</v>
      </c>
      <c r="I58" s="25" t="n">
        <f aca="false">IFERROR(INDEX(Products!$C$2:$C$13,MATCH(F58,Products!$A$2:$A$13,0)),0)</f>
        <v>950</v>
      </c>
      <c r="J58" s="25" t="n">
        <f aca="false">H58*I58</f>
        <v>1900</v>
      </c>
      <c r="K58" s="25" t="n">
        <f aca="false">IFERROR(INDEX(Products!$D$2:$D$13,MATCH(F58,Products!$A$2:$A$13,0)),0)</f>
        <v>720</v>
      </c>
      <c r="L58" s="25" t="n">
        <f aca="false">H58*K58</f>
        <v>1440</v>
      </c>
      <c r="M58" s="25" t="n">
        <f aca="false">J58-L58</f>
        <v>460</v>
      </c>
    </row>
    <row r="59" customFormat="false" ht="15" hidden="false" customHeight="false" outlineLevel="0" collapsed="false">
      <c r="A59" s="23" t="s">
        <v>143</v>
      </c>
      <c r="B59" s="24" t="n">
        <v>45705</v>
      </c>
      <c r="C59" s="23" t="n">
        <f aca="false">MONTH(B59)</f>
        <v>2</v>
      </c>
      <c r="D59" s="23" t="s">
        <v>17</v>
      </c>
      <c r="E59" s="23" t="s">
        <v>67</v>
      </c>
      <c r="F59" s="23" t="s">
        <v>71</v>
      </c>
      <c r="G59" s="23" t="str">
        <f aca="false">IFERROR(INDEX(Products!$B$2:$B$13,MATCH(F59,Products!$A$2:$A$13,0)),"Unknown")</f>
        <v>Accessories</v>
      </c>
      <c r="H59" s="23" t="n">
        <v>3</v>
      </c>
      <c r="I59" s="25" t="n">
        <f aca="false">IFERROR(INDEX(Products!$C$2:$C$13,MATCH(F59,Products!$A$2:$A$13,0)),0)</f>
        <v>45</v>
      </c>
      <c r="J59" s="25" t="n">
        <f aca="false">H59*I59</f>
        <v>135</v>
      </c>
      <c r="K59" s="25" t="n">
        <f aca="false">IFERROR(INDEX(Products!$D$2:$D$13,MATCH(F59,Products!$A$2:$A$13,0)),0)</f>
        <v>18</v>
      </c>
      <c r="L59" s="25" t="n">
        <f aca="false">H59*K59</f>
        <v>54</v>
      </c>
      <c r="M59" s="25" t="n">
        <f aca="false">J59-L59</f>
        <v>81</v>
      </c>
    </row>
    <row r="60" customFormat="false" ht="15" hidden="false" customHeight="false" outlineLevel="0" collapsed="false">
      <c r="A60" s="23" t="s">
        <v>144</v>
      </c>
      <c r="B60" s="24" t="n">
        <v>45705</v>
      </c>
      <c r="C60" s="23" t="n">
        <f aca="false">MONTH(B60)</f>
        <v>2</v>
      </c>
      <c r="D60" s="23" t="s">
        <v>23</v>
      </c>
      <c r="E60" s="23" t="s">
        <v>77</v>
      </c>
      <c r="F60" s="23" t="s">
        <v>83</v>
      </c>
      <c r="G60" s="23" t="str">
        <f aca="false">IFERROR(INDEX(Products!$B$2:$B$13,MATCH(F60,Products!$A$2:$A$13,0)),"Unknown")</f>
        <v>Phones</v>
      </c>
      <c r="H60" s="23" t="n">
        <v>1</v>
      </c>
      <c r="I60" s="25" t="n">
        <f aca="false">IFERROR(INDEX(Products!$C$2:$C$13,MATCH(F60,Products!$A$2:$A$13,0)),0)</f>
        <v>640</v>
      </c>
      <c r="J60" s="25" t="n">
        <f aca="false">H60*I60</f>
        <v>640</v>
      </c>
      <c r="K60" s="25" t="n">
        <f aca="false">IFERROR(INDEX(Products!$D$2:$D$13,MATCH(F60,Products!$A$2:$A$13,0)),0)</f>
        <v>470</v>
      </c>
      <c r="L60" s="25" t="n">
        <f aca="false">H60*K60</f>
        <v>470</v>
      </c>
      <c r="M60" s="25" t="n">
        <f aca="false">J60-L60</f>
        <v>170</v>
      </c>
    </row>
    <row r="61" customFormat="false" ht="15" hidden="false" customHeight="false" outlineLevel="0" collapsed="false">
      <c r="A61" s="23" t="s">
        <v>145</v>
      </c>
      <c r="B61" s="24" t="n">
        <v>45707</v>
      </c>
      <c r="C61" s="23" t="n">
        <f aca="false">MONTH(B61)</f>
        <v>2</v>
      </c>
      <c r="D61" s="23" t="s">
        <v>23</v>
      </c>
      <c r="E61" s="23" t="s">
        <v>77</v>
      </c>
      <c r="F61" s="23" t="s">
        <v>96</v>
      </c>
      <c r="G61" s="23" t="str">
        <f aca="false">IFERROR(INDEX(Products!$B$2:$B$13,MATCH(F61,Products!$A$2:$A$13,0)),"Unknown")</f>
        <v>Tablets</v>
      </c>
      <c r="H61" s="23" t="n">
        <v>1</v>
      </c>
      <c r="I61" s="25" t="n">
        <f aca="false">IFERROR(INDEX(Products!$C$2:$C$13,MATCH(F61,Products!$A$2:$A$13,0)),0)</f>
        <v>260</v>
      </c>
      <c r="J61" s="25" t="n">
        <f aca="false">H61*I61</f>
        <v>260</v>
      </c>
      <c r="K61" s="25" t="n">
        <f aca="false">IFERROR(INDEX(Products!$D$2:$D$13,MATCH(F61,Products!$A$2:$A$13,0)),0)</f>
        <v>180</v>
      </c>
      <c r="L61" s="25" t="n">
        <f aca="false">H61*K61</f>
        <v>180</v>
      </c>
      <c r="M61" s="25" t="n">
        <f aca="false">J61-L61</f>
        <v>80</v>
      </c>
    </row>
    <row r="62" customFormat="false" ht="15" hidden="false" customHeight="false" outlineLevel="0" collapsed="false">
      <c r="A62" s="23" t="s">
        <v>146</v>
      </c>
      <c r="B62" s="24" t="n">
        <v>45708</v>
      </c>
      <c r="C62" s="23" t="n">
        <f aca="false">MONTH(B62)</f>
        <v>2</v>
      </c>
      <c r="D62" s="23" t="s">
        <v>17</v>
      </c>
      <c r="E62" s="23" t="s">
        <v>116</v>
      </c>
      <c r="F62" s="23" t="s">
        <v>91</v>
      </c>
      <c r="G62" s="23" t="str">
        <f aca="false">IFERROR(INDEX(Products!$B$2:$B$13,MATCH(F62,Products!$A$2:$A$13,0)),"Unknown")</f>
        <v>Tablets</v>
      </c>
      <c r="H62" s="23" t="n">
        <v>3</v>
      </c>
      <c r="I62" s="25" t="n">
        <f aca="false">IFERROR(INDEX(Products!$C$2:$C$13,MATCH(F62,Products!$A$2:$A$13,0)),0)</f>
        <v>420</v>
      </c>
      <c r="J62" s="25" t="n">
        <f aca="false">H62*I62</f>
        <v>1260</v>
      </c>
      <c r="K62" s="25" t="n">
        <f aca="false">IFERROR(INDEX(Products!$D$2:$D$13,MATCH(F62,Products!$A$2:$A$13,0)),0)</f>
        <v>300</v>
      </c>
      <c r="L62" s="25" t="n">
        <f aca="false">H62*K62</f>
        <v>900</v>
      </c>
      <c r="M62" s="25" t="n">
        <f aca="false">J62-L62</f>
        <v>360</v>
      </c>
    </row>
    <row r="63" customFormat="false" ht="15" hidden="false" customHeight="false" outlineLevel="0" collapsed="false">
      <c r="A63" s="23" t="s">
        <v>147</v>
      </c>
      <c r="B63" s="24" t="n">
        <v>45709</v>
      </c>
      <c r="C63" s="23" t="n">
        <f aca="false">MONTH(B63)</f>
        <v>2</v>
      </c>
      <c r="D63" s="23" t="s">
        <v>23</v>
      </c>
      <c r="E63" s="23" t="s">
        <v>77</v>
      </c>
      <c r="F63" s="23" t="s">
        <v>71</v>
      </c>
      <c r="G63" s="23" t="str">
        <f aca="false">IFERROR(INDEX(Products!$B$2:$B$13,MATCH(F63,Products!$A$2:$A$13,0)),"Unknown")</f>
        <v>Accessories</v>
      </c>
      <c r="H63" s="23" t="n">
        <v>3</v>
      </c>
      <c r="I63" s="25" t="n">
        <f aca="false">IFERROR(INDEX(Products!$C$2:$C$13,MATCH(F63,Products!$A$2:$A$13,0)),0)</f>
        <v>45</v>
      </c>
      <c r="J63" s="25" t="n">
        <f aca="false">H63*I63</f>
        <v>135</v>
      </c>
      <c r="K63" s="25" t="n">
        <f aca="false">IFERROR(INDEX(Products!$D$2:$D$13,MATCH(F63,Products!$A$2:$A$13,0)),0)</f>
        <v>18</v>
      </c>
      <c r="L63" s="25" t="n">
        <f aca="false">H63*K63</f>
        <v>54</v>
      </c>
      <c r="M63" s="25" t="n">
        <f aca="false">J63-L63</f>
        <v>81</v>
      </c>
    </row>
    <row r="64" customFormat="false" ht="15" hidden="false" customHeight="false" outlineLevel="0" collapsed="false">
      <c r="A64" s="23" t="s">
        <v>148</v>
      </c>
      <c r="B64" s="24" t="n">
        <v>45710</v>
      </c>
      <c r="C64" s="23" t="n">
        <f aca="false">MONTH(B64)</f>
        <v>2</v>
      </c>
      <c r="D64" s="23" t="s">
        <v>19</v>
      </c>
      <c r="E64" s="23" t="s">
        <v>73</v>
      </c>
      <c r="F64" s="23" t="s">
        <v>91</v>
      </c>
      <c r="G64" s="23" t="str">
        <f aca="false">IFERROR(INDEX(Products!$B$2:$B$13,MATCH(F64,Products!$A$2:$A$13,0)),"Unknown")</f>
        <v>Tablets</v>
      </c>
      <c r="H64" s="23" t="n">
        <v>2</v>
      </c>
      <c r="I64" s="25" t="n">
        <f aca="false">IFERROR(INDEX(Products!$C$2:$C$13,MATCH(F64,Products!$A$2:$A$13,0)),0)</f>
        <v>420</v>
      </c>
      <c r="J64" s="25" t="n">
        <f aca="false">H64*I64</f>
        <v>840</v>
      </c>
      <c r="K64" s="25" t="n">
        <f aca="false">IFERROR(INDEX(Products!$D$2:$D$13,MATCH(F64,Products!$A$2:$A$13,0)),0)</f>
        <v>300</v>
      </c>
      <c r="L64" s="25" t="n">
        <f aca="false">H64*K64</f>
        <v>600</v>
      </c>
      <c r="M64" s="25" t="n">
        <f aca="false">J64-L64</f>
        <v>240</v>
      </c>
    </row>
    <row r="65" customFormat="false" ht="15" hidden="false" customHeight="false" outlineLevel="0" collapsed="false">
      <c r="A65" s="23" t="s">
        <v>149</v>
      </c>
      <c r="B65" s="24" t="n">
        <v>45710</v>
      </c>
      <c r="C65" s="23" t="n">
        <f aca="false">MONTH(B65)</f>
        <v>2</v>
      </c>
      <c r="D65" s="23" t="s">
        <v>21</v>
      </c>
      <c r="E65" s="23" t="s">
        <v>90</v>
      </c>
      <c r="F65" s="23" t="s">
        <v>91</v>
      </c>
      <c r="G65" s="23" t="str">
        <f aca="false">IFERROR(INDEX(Products!$B$2:$B$13,MATCH(F65,Products!$A$2:$A$13,0)),"Unknown")</f>
        <v>Tablets</v>
      </c>
      <c r="H65" s="23" t="n">
        <v>1</v>
      </c>
      <c r="I65" s="25" t="n">
        <f aca="false">IFERROR(INDEX(Products!$C$2:$C$13,MATCH(F65,Products!$A$2:$A$13,0)),0)</f>
        <v>420</v>
      </c>
      <c r="J65" s="25" t="n">
        <f aca="false">H65*I65</f>
        <v>420</v>
      </c>
      <c r="K65" s="25" t="n">
        <f aca="false">IFERROR(INDEX(Products!$D$2:$D$13,MATCH(F65,Products!$A$2:$A$13,0)),0)</f>
        <v>300</v>
      </c>
      <c r="L65" s="25" t="n">
        <f aca="false">H65*K65</f>
        <v>300</v>
      </c>
      <c r="M65" s="25" t="n">
        <f aca="false">J65-L65</f>
        <v>120</v>
      </c>
    </row>
    <row r="66" customFormat="false" ht="15" hidden="false" customHeight="false" outlineLevel="0" collapsed="false">
      <c r="A66" s="23" t="s">
        <v>150</v>
      </c>
      <c r="B66" s="24" t="n">
        <v>45710</v>
      </c>
      <c r="C66" s="23" t="n">
        <f aca="false">MONTH(B66)</f>
        <v>2</v>
      </c>
      <c r="D66" s="23" t="s">
        <v>21</v>
      </c>
      <c r="E66" s="23" t="s">
        <v>90</v>
      </c>
      <c r="F66" s="23" t="s">
        <v>74</v>
      </c>
      <c r="G66" s="23" t="str">
        <f aca="false">IFERROR(INDEX(Products!$B$2:$B$13,MATCH(F66,Products!$A$2:$A$13,0)),"Unknown")</f>
        <v>Monitors</v>
      </c>
      <c r="H66" s="23" t="n">
        <v>1</v>
      </c>
      <c r="I66" s="25" t="n">
        <f aca="false">IFERROR(INDEX(Products!$C$2:$C$13,MATCH(F66,Products!$A$2:$A$13,0)),0)</f>
        <v>310</v>
      </c>
      <c r="J66" s="25" t="n">
        <f aca="false">H66*I66</f>
        <v>310</v>
      </c>
      <c r="K66" s="25" t="n">
        <f aca="false">IFERROR(INDEX(Products!$D$2:$D$13,MATCH(F66,Products!$A$2:$A$13,0)),0)</f>
        <v>225</v>
      </c>
      <c r="L66" s="25" t="n">
        <f aca="false">H66*K66</f>
        <v>225</v>
      </c>
      <c r="M66" s="25" t="n">
        <f aca="false">J66-L66</f>
        <v>85</v>
      </c>
    </row>
    <row r="67" customFormat="false" ht="15" hidden="false" customHeight="false" outlineLevel="0" collapsed="false">
      <c r="A67" s="23" t="s">
        <v>151</v>
      </c>
      <c r="B67" s="24" t="n">
        <v>45712</v>
      </c>
      <c r="C67" s="23" t="n">
        <f aca="false">MONTH(B67)</f>
        <v>2</v>
      </c>
      <c r="D67" s="23" t="s">
        <v>23</v>
      </c>
      <c r="E67" s="23" t="s">
        <v>77</v>
      </c>
      <c r="F67" s="23" t="s">
        <v>88</v>
      </c>
      <c r="G67" s="23" t="str">
        <f aca="false">IFERROR(INDEX(Products!$B$2:$B$13,MATCH(F67,Products!$A$2:$A$13,0)),"Unknown")</f>
        <v>Accessories</v>
      </c>
      <c r="H67" s="23" t="n">
        <v>12</v>
      </c>
      <c r="I67" s="25" t="n">
        <f aca="false">IFERROR(INDEX(Products!$C$2:$C$13,MATCH(F67,Products!$A$2:$A$13,0)),0)</f>
        <v>85</v>
      </c>
      <c r="J67" s="25" t="n">
        <f aca="false">H67*I67</f>
        <v>1020</v>
      </c>
      <c r="K67" s="25" t="n">
        <f aca="false">IFERROR(INDEX(Products!$D$2:$D$13,MATCH(F67,Products!$A$2:$A$13,0)),0)</f>
        <v>38</v>
      </c>
      <c r="L67" s="25" t="n">
        <f aca="false">H67*K67</f>
        <v>456</v>
      </c>
      <c r="M67" s="25" t="n">
        <f aca="false">J67-L67</f>
        <v>564</v>
      </c>
    </row>
    <row r="68" customFormat="false" ht="15" hidden="false" customHeight="false" outlineLevel="0" collapsed="false">
      <c r="A68" s="23" t="s">
        <v>152</v>
      </c>
      <c r="B68" s="24" t="n">
        <v>45713</v>
      </c>
      <c r="C68" s="23" t="n">
        <f aca="false">MONTH(B68)</f>
        <v>2</v>
      </c>
      <c r="D68" s="23" t="s">
        <v>19</v>
      </c>
      <c r="E68" s="23" t="s">
        <v>70</v>
      </c>
      <c r="F68" s="23" t="s">
        <v>94</v>
      </c>
      <c r="G68" s="23" t="str">
        <f aca="false">IFERROR(INDEX(Products!$B$2:$B$13,MATCH(F68,Products!$A$2:$A$13,0)),"Unknown")</f>
        <v>Laptops</v>
      </c>
      <c r="H68" s="23" t="n">
        <v>5</v>
      </c>
      <c r="I68" s="25" t="n">
        <f aca="false">IFERROR(INDEX(Products!$C$2:$C$13,MATCH(F68,Products!$A$2:$A$13,0)),0)</f>
        <v>1350</v>
      </c>
      <c r="J68" s="25" t="n">
        <f aca="false">H68*I68</f>
        <v>6750</v>
      </c>
      <c r="K68" s="25" t="n">
        <f aca="false">IFERROR(INDEX(Products!$D$2:$D$13,MATCH(F68,Products!$A$2:$A$13,0)),0)</f>
        <v>1040</v>
      </c>
      <c r="L68" s="25" t="n">
        <f aca="false">H68*K68</f>
        <v>5200</v>
      </c>
      <c r="M68" s="25" t="n">
        <f aca="false">J68-L68</f>
        <v>1550</v>
      </c>
    </row>
    <row r="69" customFormat="false" ht="15" hidden="false" customHeight="false" outlineLevel="0" collapsed="false">
      <c r="A69" s="23" t="s">
        <v>153</v>
      </c>
      <c r="B69" s="24" t="n">
        <v>45714</v>
      </c>
      <c r="C69" s="23" t="n">
        <f aca="false">MONTH(B69)</f>
        <v>2</v>
      </c>
      <c r="D69" s="23" t="s">
        <v>17</v>
      </c>
      <c r="E69" s="23" t="s">
        <v>67</v>
      </c>
      <c r="F69" s="23" t="s">
        <v>81</v>
      </c>
      <c r="G69" s="23" t="str">
        <f aca="false">IFERROR(INDEX(Products!$B$2:$B$13,MATCH(F69,Products!$A$2:$A$13,0)),"Unknown")</f>
        <v>Laptops</v>
      </c>
      <c r="H69" s="23" t="n">
        <v>1</v>
      </c>
      <c r="I69" s="25" t="n">
        <f aca="false">IFERROR(INDEX(Products!$C$2:$C$13,MATCH(F69,Products!$A$2:$A$13,0)),0)</f>
        <v>950</v>
      </c>
      <c r="J69" s="25" t="n">
        <f aca="false">H69*I69</f>
        <v>950</v>
      </c>
      <c r="K69" s="25" t="n">
        <f aca="false">IFERROR(INDEX(Products!$D$2:$D$13,MATCH(F69,Products!$A$2:$A$13,0)),0)</f>
        <v>720</v>
      </c>
      <c r="L69" s="25" t="n">
        <f aca="false">H69*K69</f>
        <v>720</v>
      </c>
      <c r="M69" s="25" t="n">
        <f aca="false">J69-L69</f>
        <v>230</v>
      </c>
    </row>
    <row r="70" customFormat="false" ht="15" hidden="false" customHeight="false" outlineLevel="0" collapsed="false">
      <c r="A70" s="23" t="s">
        <v>154</v>
      </c>
      <c r="B70" s="24" t="n">
        <v>45715</v>
      </c>
      <c r="C70" s="23" t="n">
        <f aca="false">MONTH(B70)</f>
        <v>2</v>
      </c>
      <c r="D70" s="23" t="s">
        <v>21</v>
      </c>
      <c r="E70" s="23" t="s">
        <v>87</v>
      </c>
      <c r="F70" s="23" t="s">
        <v>88</v>
      </c>
      <c r="G70" s="23" t="str">
        <f aca="false">IFERROR(INDEX(Products!$B$2:$B$13,MATCH(F70,Products!$A$2:$A$13,0)),"Unknown")</f>
        <v>Accessories</v>
      </c>
      <c r="H70" s="23" t="n">
        <v>3</v>
      </c>
      <c r="I70" s="25" t="n">
        <f aca="false">IFERROR(INDEX(Products!$C$2:$C$13,MATCH(F70,Products!$A$2:$A$13,0)),0)</f>
        <v>85</v>
      </c>
      <c r="J70" s="25" t="n">
        <f aca="false">H70*I70</f>
        <v>255</v>
      </c>
      <c r="K70" s="25" t="n">
        <f aca="false">IFERROR(INDEX(Products!$D$2:$D$13,MATCH(F70,Products!$A$2:$A$13,0)),0)</f>
        <v>38</v>
      </c>
      <c r="L70" s="25" t="n">
        <f aca="false">H70*K70</f>
        <v>114</v>
      </c>
      <c r="M70" s="25" t="n">
        <f aca="false">J70-L70</f>
        <v>141</v>
      </c>
    </row>
    <row r="71" customFormat="false" ht="15" hidden="false" customHeight="false" outlineLevel="0" collapsed="false">
      <c r="A71" s="23" t="s">
        <v>155</v>
      </c>
      <c r="B71" s="24" t="n">
        <v>45716</v>
      </c>
      <c r="C71" s="23" t="n">
        <f aca="false">MONTH(B71)</f>
        <v>2</v>
      </c>
      <c r="D71" s="23" t="s">
        <v>17</v>
      </c>
      <c r="E71" s="23" t="s">
        <v>67</v>
      </c>
      <c r="F71" s="23" t="s">
        <v>88</v>
      </c>
      <c r="G71" s="23" t="str">
        <f aca="false">IFERROR(INDEX(Products!$B$2:$B$13,MATCH(F71,Products!$A$2:$A$13,0)),"Unknown")</f>
        <v>Accessories</v>
      </c>
      <c r="H71" s="23" t="n">
        <v>3</v>
      </c>
      <c r="I71" s="25" t="n">
        <f aca="false">IFERROR(INDEX(Products!$C$2:$C$13,MATCH(F71,Products!$A$2:$A$13,0)),0)</f>
        <v>85</v>
      </c>
      <c r="J71" s="25" t="n">
        <f aca="false">H71*I71</f>
        <v>255</v>
      </c>
      <c r="K71" s="25" t="n">
        <f aca="false">IFERROR(INDEX(Products!$D$2:$D$13,MATCH(F71,Products!$A$2:$A$13,0)),0)</f>
        <v>38</v>
      </c>
      <c r="L71" s="25" t="n">
        <f aca="false">H71*K71</f>
        <v>114</v>
      </c>
      <c r="M71" s="25" t="n">
        <f aca="false">J71-L71</f>
        <v>141</v>
      </c>
    </row>
    <row r="72" customFormat="false" ht="15" hidden="false" customHeight="false" outlineLevel="0" collapsed="false">
      <c r="A72" s="23" t="s">
        <v>156</v>
      </c>
      <c r="B72" s="24" t="n">
        <v>45717</v>
      </c>
      <c r="C72" s="23" t="n">
        <f aca="false">MONTH(B72)</f>
        <v>3</v>
      </c>
      <c r="D72" s="23" t="s">
        <v>19</v>
      </c>
      <c r="E72" s="23" t="s">
        <v>73</v>
      </c>
      <c r="F72" s="23" t="s">
        <v>104</v>
      </c>
      <c r="G72" s="23" t="str">
        <f aca="false">IFERROR(INDEX(Products!$B$2:$B$13,MATCH(F72,Products!$A$2:$A$13,0)),"Unknown")</f>
        <v>Phones</v>
      </c>
      <c r="H72" s="23" t="n">
        <v>2</v>
      </c>
      <c r="I72" s="25" t="n">
        <f aca="false">IFERROR(INDEX(Products!$C$2:$C$13,MATCH(F72,Products!$A$2:$A$13,0)),0)</f>
        <v>290</v>
      </c>
      <c r="J72" s="25" t="n">
        <f aca="false">H72*I72</f>
        <v>580</v>
      </c>
      <c r="K72" s="25" t="n">
        <f aca="false">IFERROR(INDEX(Products!$D$2:$D$13,MATCH(F72,Products!$A$2:$A$13,0)),0)</f>
        <v>205</v>
      </c>
      <c r="L72" s="25" t="n">
        <f aca="false">H72*K72</f>
        <v>410</v>
      </c>
      <c r="M72" s="25" t="n">
        <f aca="false">J72-L72</f>
        <v>170</v>
      </c>
    </row>
    <row r="73" customFormat="false" ht="15" hidden="false" customHeight="false" outlineLevel="0" collapsed="false">
      <c r="A73" s="23" t="s">
        <v>157</v>
      </c>
      <c r="B73" s="24" t="n">
        <v>45717</v>
      </c>
      <c r="C73" s="23" t="n">
        <f aca="false">MONTH(B73)</f>
        <v>3</v>
      </c>
      <c r="D73" s="23" t="s">
        <v>17</v>
      </c>
      <c r="E73" s="23" t="s">
        <v>67</v>
      </c>
      <c r="F73" s="23" t="s">
        <v>71</v>
      </c>
      <c r="G73" s="23" t="str">
        <f aca="false">IFERROR(INDEX(Products!$B$2:$B$13,MATCH(F73,Products!$A$2:$A$13,0)),"Unknown")</f>
        <v>Accessories</v>
      </c>
      <c r="H73" s="23" t="n">
        <v>6</v>
      </c>
      <c r="I73" s="25" t="n">
        <f aca="false">IFERROR(INDEX(Products!$C$2:$C$13,MATCH(F73,Products!$A$2:$A$13,0)),0)</f>
        <v>45</v>
      </c>
      <c r="J73" s="25" t="n">
        <f aca="false">H73*I73</f>
        <v>270</v>
      </c>
      <c r="K73" s="25" t="n">
        <f aca="false">IFERROR(INDEX(Products!$D$2:$D$13,MATCH(F73,Products!$A$2:$A$13,0)),0)</f>
        <v>18</v>
      </c>
      <c r="L73" s="25" t="n">
        <f aca="false">H73*K73</f>
        <v>108</v>
      </c>
      <c r="M73" s="25" t="n">
        <f aca="false">J73-L73</f>
        <v>162</v>
      </c>
    </row>
    <row r="74" customFormat="false" ht="15" hidden="false" customHeight="false" outlineLevel="0" collapsed="false">
      <c r="A74" s="23" t="s">
        <v>158</v>
      </c>
      <c r="B74" s="24" t="n">
        <v>45719</v>
      </c>
      <c r="C74" s="23" t="n">
        <f aca="false">MONTH(B74)</f>
        <v>3</v>
      </c>
      <c r="D74" s="23" t="s">
        <v>21</v>
      </c>
      <c r="E74" s="23" t="s">
        <v>87</v>
      </c>
      <c r="F74" s="23" t="s">
        <v>83</v>
      </c>
      <c r="G74" s="23" t="str">
        <f aca="false">IFERROR(INDEX(Products!$B$2:$B$13,MATCH(F74,Products!$A$2:$A$13,0)),"Unknown")</f>
        <v>Phones</v>
      </c>
      <c r="H74" s="23" t="n">
        <v>3</v>
      </c>
      <c r="I74" s="25" t="n">
        <f aca="false">IFERROR(INDEX(Products!$C$2:$C$13,MATCH(F74,Products!$A$2:$A$13,0)),0)</f>
        <v>640</v>
      </c>
      <c r="J74" s="25" t="n">
        <f aca="false">H74*I74</f>
        <v>1920</v>
      </c>
      <c r="K74" s="25" t="n">
        <f aca="false">IFERROR(INDEX(Products!$D$2:$D$13,MATCH(F74,Products!$A$2:$A$13,0)),0)</f>
        <v>470</v>
      </c>
      <c r="L74" s="25" t="n">
        <f aca="false">H74*K74</f>
        <v>1410</v>
      </c>
      <c r="M74" s="25" t="n">
        <f aca="false">J74-L74</f>
        <v>510</v>
      </c>
    </row>
    <row r="75" customFormat="false" ht="15" hidden="false" customHeight="false" outlineLevel="0" collapsed="false">
      <c r="A75" s="23" t="s">
        <v>159</v>
      </c>
      <c r="B75" s="24" t="n">
        <v>45721</v>
      </c>
      <c r="C75" s="23" t="n">
        <f aca="false">MONTH(B75)</f>
        <v>3</v>
      </c>
      <c r="D75" s="23" t="s">
        <v>23</v>
      </c>
      <c r="E75" s="23" t="s">
        <v>85</v>
      </c>
      <c r="F75" s="23" t="s">
        <v>88</v>
      </c>
      <c r="G75" s="23" t="str">
        <f aca="false">IFERROR(INDEX(Products!$B$2:$B$13,MATCH(F75,Products!$A$2:$A$13,0)),"Unknown")</f>
        <v>Accessories</v>
      </c>
      <c r="H75" s="23" t="n">
        <v>9</v>
      </c>
      <c r="I75" s="25" t="n">
        <f aca="false">IFERROR(INDEX(Products!$C$2:$C$13,MATCH(F75,Products!$A$2:$A$13,0)),0)</f>
        <v>85</v>
      </c>
      <c r="J75" s="25" t="n">
        <f aca="false">H75*I75</f>
        <v>765</v>
      </c>
      <c r="K75" s="25" t="n">
        <f aca="false">IFERROR(INDEX(Products!$D$2:$D$13,MATCH(F75,Products!$A$2:$A$13,0)),0)</f>
        <v>38</v>
      </c>
      <c r="L75" s="25" t="n">
        <f aca="false">H75*K75</f>
        <v>342</v>
      </c>
      <c r="M75" s="25" t="n">
        <f aca="false">J75-L75</f>
        <v>423</v>
      </c>
    </row>
    <row r="76" customFormat="false" ht="15" hidden="false" customHeight="false" outlineLevel="0" collapsed="false">
      <c r="A76" s="23" t="s">
        <v>160</v>
      </c>
      <c r="B76" s="24" t="n">
        <v>45723</v>
      </c>
      <c r="C76" s="23" t="n">
        <f aca="false">MONTH(B76)</f>
        <v>3</v>
      </c>
      <c r="D76" s="23" t="s">
        <v>23</v>
      </c>
      <c r="E76" s="23" t="s">
        <v>85</v>
      </c>
      <c r="F76" s="23" t="s">
        <v>104</v>
      </c>
      <c r="G76" s="23" t="str">
        <f aca="false">IFERROR(INDEX(Products!$B$2:$B$13,MATCH(F76,Products!$A$2:$A$13,0)),"Unknown")</f>
        <v>Phones</v>
      </c>
      <c r="H76" s="23" t="n">
        <v>1</v>
      </c>
      <c r="I76" s="25" t="n">
        <f aca="false">IFERROR(INDEX(Products!$C$2:$C$13,MATCH(F76,Products!$A$2:$A$13,0)),0)</f>
        <v>290</v>
      </c>
      <c r="J76" s="25" t="n">
        <f aca="false">H76*I76</f>
        <v>290</v>
      </c>
      <c r="K76" s="25" t="n">
        <f aca="false">IFERROR(INDEX(Products!$D$2:$D$13,MATCH(F76,Products!$A$2:$A$13,0)),0)</f>
        <v>205</v>
      </c>
      <c r="L76" s="25" t="n">
        <f aca="false">H76*K76</f>
        <v>205</v>
      </c>
      <c r="M76" s="25" t="n">
        <f aca="false">J76-L76</f>
        <v>85</v>
      </c>
    </row>
    <row r="77" customFormat="false" ht="15" hidden="false" customHeight="false" outlineLevel="0" collapsed="false">
      <c r="A77" s="23" t="s">
        <v>161</v>
      </c>
      <c r="B77" s="24" t="n">
        <v>45724</v>
      </c>
      <c r="C77" s="23" t="n">
        <f aca="false">MONTH(B77)</f>
        <v>3</v>
      </c>
      <c r="D77" s="23" t="s">
        <v>19</v>
      </c>
      <c r="E77" s="23" t="s">
        <v>73</v>
      </c>
      <c r="F77" s="23" t="s">
        <v>68</v>
      </c>
      <c r="G77" s="23" t="str">
        <f aca="false">IFERROR(INDEX(Products!$B$2:$B$13,MATCH(F77,Products!$A$2:$A$13,0)),"Unknown")</f>
        <v>Laptops</v>
      </c>
      <c r="H77" s="23" t="n">
        <v>1</v>
      </c>
      <c r="I77" s="25" t="n">
        <f aca="false">IFERROR(INDEX(Products!$C$2:$C$13,MATCH(F77,Products!$A$2:$A$13,0)),0)</f>
        <v>780</v>
      </c>
      <c r="J77" s="25" t="n">
        <f aca="false">H77*I77</f>
        <v>780</v>
      </c>
      <c r="K77" s="25" t="n">
        <f aca="false">IFERROR(INDEX(Products!$D$2:$D$13,MATCH(F77,Products!$A$2:$A$13,0)),0)</f>
        <v>590</v>
      </c>
      <c r="L77" s="25" t="n">
        <f aca="false">H77*K77</f>
        <v>590</v>
      </c>
      <c r="M77" s="25" t="n">
        <f aca="false">J77-L77</f>
        <v>190</v>
      </c>
    </row>
    <row r="78" customFormat="false" ht="15" hidden="false" customHeight="false" outlineLevel="0" collapsed="false">
      <c r="A78" s="23" t="s">
        <v>162</v>
      </c>
      <c r="B78" s="24" t="n">
        <v>45724</v>
      </c>
      <c r="C78" s="23" t="n">
        <f aca="false">MONTH(B78)</f>
        <v>3</v>
      </c>
      <c r="D78" s="23" t="s">
        <v>21</v>
      </c>
      <c r="E78" s="23" t="s">
        <v>87</v>
      </c>
      <c r="F78" s="23" t="s">
        <v>91</v>
      </c>
      <c r="G78" s="23" t="str">
        <f aca="false">IFERROR(INDEX(Products!$B$2:$B$13,MATCH(F78,Products!$A$2:$A$13,0)),"Unknown")</f>
        <v>Tablets</v>
      </c>
      <c r="H78" s="23" t="n">
        <v>1</v>
      </c>
      <c r="I78" s="25" t="n">
        <f aca="false">IFERROR(INDEX(Products!$C$2:$C$13,MATCH(F78,Products!$A$2:$A$13,0)),0)</f>
        <v>420</v>
      </c>
      <c r="J78" s="25" t="n">
        <f aca="false">H78*I78</f>
        <v>420</v>
      </c>
      <c r="K78" s="25" t="n">
        <f aca="false">IFERROR(INDEX(Products!$D$2:$D$13,MATCH(F78,Products!$A$2:$A$13,0)),0)</f>
        <v>300</v>
      </c>
      <c r="L78" s="25" t="n">
        <f aca="false">H78*K78</f>
        <v>300</v>
      </c>
      <c r="M78" s="25" t="n">
        <f aca="false">J78-L78</f>
        <v>120</v>
      </c>
    </row>
    <row r="79" customFormat="false" ht="15" hidden="false" customHeight="false" outlineLevel="0" collapsed="false">
      <c r="A79" s="23" t="s">
        <v>163</v>
      </c>
      <c r="B79" s="24" t="n">
        <v>45725</v>
      </c>
      <c r="C79" s="23" t="n">
        <f aca="false">MONTH(B79)</f>
        <v>3</v>
      </c>
      <c r="D79" s="23" t="s">
        <v>19</v>
      </c>
      <c r="E79" s="23" t="s">
        <v>70</v>
      </c>
      <c r="F79" s="23" t="s">
        <v>71</v>
      </c>
      <c r="G79" s="23" t="str">
        <f aca="false">IFERROR(INDEX(Products!$B$2:$B$13,MATCH(F79,Products!$A$2:$A$13,0)),"Unknown")</f>
        <v>Accessories</v>
      </c>
      <c r="H79" s="23" t="n">
        <v>3</v>
      </c>
      <c r="I79" s="25" t="n">
        <f aca="false">IFERROR(INDEX(Products!$C$2:$C$13,MATCH(F79,Products!$A$2:$A$13,0)),0)</f>
        <v>45</v>
      </c>
      <c r="J79" s="25" t="n">
        <f aca="false">H79*I79</f>
        <v>135</v>
      </c>
      <c r="K79" s="25" t="n">
        <f aca="false">IFERROR(INDEX(Products!$D$2:$D$13,MATCH(F79,Products!$A$2:$A$13,0)),0)</f>
        <v>18</v>
      </c>
      <c r="L79" s="25" t="n">
        <f aca="false">H79*K79</f>
        <v>54</v>
      </c>
      <c r="M79" s="25" t="n">
        <f aca="false">J79-L79</f>
        <v>81</v>
      </c>
    </row>
    <row r="80" customFormat="false" ht="15" hidden="false" customHeight="false" outlineLevel="0" collapsed="false">
      <c r="A80" s="23" t="s">
        <v>164</v>
      </c>
      <c r="B80" s="24" t="n">
        <v>45726</v>
      </c>
      <c r="C80" s="23" t="n">
        <f aca="false">MONTH(B80)</f>
        <v>3</v>
      </c>
      <c r="D80" s="23" t="s">
        <v>21</v>
      </c>
      <c r="E80" s="23" t="s">
        <v>87</v>
      </c>
      <c r="F80" s="23" t="s">
        <v>68</v>
      </c>
      <c r="G80" s="23" t="str">
        <f aca="false">IFERROR(INDEX(Products!$B$2:$B$13,MATCH(F80,Products!$A$2:$A$13,0)),"Unknown")</f>
        <v>Laptops</v>
      </c>
      <c r="H80" s="23" t="n">
        <v>2</v>
      </c>
      <c r="I80" s="25" t="n">
        <f aca="false">IFERROR(INDEX(Products!$C$2:$C$13,MATCH(F80,Products!$A$2:$A$13,0)),0)</f>
        <v>780</v>
      </c>
      <c r="J80" s="25" t="n">
        <f aca="false">H80*I80</f>
        <v>1560</v>
      </c>
      <c r="K80" s="25" t="n">
        <f aca="false">IFERROR(INDEX(Products!$D$2:$D$13,MATCH(F80,Products!$A$2:$A$13,0)),0)</f>
        <v>590</v>
      </c>
      <c r="L80" s="25" t="n">
        <f aca="false">H80*K80</f>
        <v>1180</v>
      </c>
      <c r="M80" s="25" t="n">
        <f aca="false">J80-L80</f>
        <v>380</v>
      </c>
    </row>
    <row r="81" customFormat="false" ht="15" hidden="false" customHeight="false" outlineLevel="0" collapsed="false">
      <c r="A81" s="23" t="s">
        <v>165</v>
      </c>
      <c r="B81" s="24" t="n">
        <v>45727</v>
      </c>
      <c r="C81" s="23" t="n">
        <f aca="false">MONTH(B81)</f>
        <v>3</v>
      </c>
      <c r="D81" s="23" t="s">
        <v>23</v>
      </c>
      <c r="E81" s="23" t="s">
        <v>77</v>
      </c>
      <c r="F81" s="23" t="s">
        <v>79</v>
      </c>
      <c r="G81" s="23" t="str">
        <f aca="false">IFERROR(INDEX(Products!$B$2:$B$13,MATCH(F81,Products!$A$2:$A$13,0)),"Unknown")</f>
        <v>Accessories</v>
      </c>
      <c r="H81" s="23" t="n">
        <v>15</v>
      </c>
      <c r="I81" s="25" t="n">
        <f aca="false">IFERROR(INDEX(Products!$C$2:$C$13,MATCH(F81,Products!$A$2:$A$13,0)),0)</f>
        <v>190</v>
      </c>
      <c r="J81" s="25" t="n">
        <f aca="false">H81*I81</f>
        <v>2850</v>
      </c>
      <c r="K81" s="25" t="n">
        <f aca="false">IFERROR(INDEX(Products!$D$2:$D$13,MATCH(F81,Products!$A$2:$A$13,0)),0)</f>
        <v>115</v>
      </c>
      <c r="L81" s="25" t="n">
        <f aca="false">H81*K81</f>
        <v>1725</v>
      </c>
      <c r="M81" s="25" t="n">
        <f aca="false">J81-L81</f>
        <v>1125</v>
      </c>
    </row>
    <row r="82" customFormat="false" ht="15" hidden="false" customHeight="false" outlineLevel="0" collapsed="false">
      <c r="A82" s="23" t="s">
        <v>166</v>
      </c>
      <c r="B82" s="24" t="n">
        <v>45729</v>
      </c>
      <c r="C82" s="23" t="n">
        <f aca="false">MONTH(B82)</f>
        <v>3</v>
      </c>
      <c r="D82" s="23" t="s">
        <v>17</v>
      </c>
      <c r="E82" s="23" t="s">
        <v>116</v>
      </c>
      <c r="F82" s="23" t="s">
        <v>104</v>
      </c>
      <c r="G82" s="23" t="str">
        <f aca="false">IFERROR(INDEX(Products!$B$2:$B$13,MATCH(F82,Products!$A$2:$A$13,0)),"Unknown")</f>
        <v>Phones</v>
      </c>
      <c r="H82" s="23" t="n">
        <v>2</v>
      </c>
      <c r="I82" s="25" t="n">
        <f aca="false">IFERROR(INDEX(Products!$C$2:$C$13,MATCH(F82,Products!$A$2:$A$13,0)),0)</f>
        <v>290</v>
      </c>
      <c r="J82" s="25" t="n">
        <f aca="false">H82*I82</f>
        <v>580</v>
      </c>
      <c r="K82" s="25" t="n">
        <f aca="false">IFERROR(INDEX(Products!$D$2:$D$13,MATCH(F82,Products!$A$2:$A$13,0)),0)</f>
        <v>205</v>
      </c>
      <c r="L82" s="25" t="n">
        <f aca="false">H82*K82</f>
        <v>410</v>
      </c>
      <c r="M82" s="25" t="n">
        <f aca="false">J82-L82</f>
        <v>170</v>
      </c>
    </row>
    <row r="83" customFormat="false" ht="15" hidden="false" customHeight="false" outlineLevel="0" collapsed="false">
      <c r="A83" s="23" t="s">
        <v>167</v>
      </c>
      <c r="B83" s="24" t="n">
        <v>45730</v>
      </c>
      <c r="C83" s="23" t="n">
        <f aca="false">MONTH(B83)</f>
        <v>3</v>
      </c>
      <c r="D83" s="23" t="s">
        <v>21</v>
      </c>
      <c r="E83" s="23" t="s">
        <v>90</v>
      </c>
      <c r="F83" s="23" t="s">
        <v>88</v>
      </c>
      <c r="G83" s="23" t="str">
        <f aca="false">IFERROR(INDEX(Products!$B$2:$B$13,MATCH(F83,Products!$A$2:$A$13,0)),"Unknown")</f>
        <v>Accessories</v>
      </c>
      <c r="H83" s="23" t="n">
        <v>12</v>
      </c>
      <c r="I83" s="25" t="n">
        <f aca="false">IFERROR(INDEX(Products!$C$2:$C$13,MATCH(F83,Products!$A$2:$A$13,0)),0)</f>
        <v>85</v>
      </c>
      <c r="J83" s="25" t="n">
        <f aca="false">H83*I83</f>
        <v>1020</v>
      </c>
      <c r="K83" s="25" t="n">
        <f aca="false">IFERROR(INDEX(Products!$D$2:$D$13,MATCH(F83,Products!$A$2:$A$13,0)),0)</f>
        <v>38</v>
      </c>
      <c r="L83" s="25" t="n">
        <f aca="false">H83*K83</f>
        <v>456</v>
      </c>
      <c r="M83" s="25" t="n">
        <f aca="false">J83-L83</f>
        <v>564</v>
      </c>
    </row>
    <row r="84" customFormat="false" ht="15" hidden="false" customHeight="false" outlineLevel="0" collapsed="false">
      <c r="A84" s="23" t="s">
        <v>168</v>
      </c>
      <c r="B84" s="24" t="n">
        <v>45732</v>
      </c>
      <c r="C84" s="23" t="n">
        <f aca="false">MONTH(B84)</f>
        <v>3</v>
      </c>
      <c r="D84" s="23" t="s">
        <v>17</v>
      </c>
      <c r="E84" s="23" t="s">
        <v>116</v>
      </c>
      <c r="F84" s="23" t="s">
        <v>91</v>
      </c>
      <c r="G84" s="23" t="str">
        <f aca="false">IFERROR(INDEX(Products!$B$2:$B$13,MATCH(F84,Products!$A$2:$A$13,0)),"Unknown")</f>
        <v>Tablets</v>
      </c>
      <c r="H84" s="23" t="n">
        <v>2</v>
      </c>
      <c r="I84" s="25" t="n">
        <f aca="false">IFERROR(INDEX(Products!$C$2:$C$13,MATCH(F84,Products!$A$2:$A$13,0)),0)</f>
        <v>420</v>
      </c>
      <c r="J84" s="25" t="n">
        <f aca="false">H84*I84</f>
        <v>840</v>
      </c>
      <c r="K84" s="25" t="n">
        <f aca="false">IFERROR(INDEX(Products!$D$2:$D$13,MATCH(F84,Products!$A$2:$A$13,0)),0)</f>
        <v>300</v>
      </c>
      <c r="L84" s="25" t="n">
        <f aca="false">H84*K84</f>
        <v>600</v>
      </c>
      <c r="M84" s="25" t="n">
        <f aca="false">J84-L84</f>
        <v>240</v>
      </c>
    </row>
    <row r="85" customFormat="false" ht="15" hidden="false" customHeight="false" outlineLevel="0" collapsed="false">
      <c r="A85" s="23" t="s">
        <v>169</v>
      </c>
      <c r="B85" s="24" t="n">
        <v>45732</v>
      </c>
      <c r="C85" s="23" t="n">
        <f aca="false">MONTH(B85)</f>
        <v>3</v>
      </c>
      <c r="D85" s="23" t="s">
        <v>23</v>
      </c>
      <c r="E85" s="23" t="s">
        <v>77</v>
      </c>
      <c r="F85" s="23" t="s">
        <v>83</v>
      </c>
      <c r="G85" s="23" t="str">
        <f aca="false">IFERROR(INDEX(Products!$B$2:$B$13,MATCH(F85,Products!$A$2:$A$13,0)),"Unknown")</f>
        <v>Phones</v>
      </c>
      <c r="H85" s="23" t="n">
        <v>1</v>
      </c>
      <c r="I85" s="25" t="n">
        <f aca="false">IFERROR(INDEX(Products!$C$2:$C$13,MATCH(F85,Products!$A$2:$A$13,0)),0)</f>
        <v>640</v>
      </c>
      <c r="J85" s="25" t="n">
        <f aca="false">H85*I85</f>
        <v>640</v>
      </c>
      <c r="K85" s="25" t="n">
        <f aca="false">IFERROR(INDEX(Products!$D$2:$D$13,MATCH(F85,Products!$A$2:$A$13,0)),0)</f>
        <v>470</v>
      </c>
      <c r="L85" s="25" t="n">
        <f aca="false">H85*K85</f>
        <v>470</v>
      </c>
      <c r="M85" s="25" t="n">
        <f aca="false">J85-L85</f>
        <v>170</v>
      </c>
    </row>
    <row r="86" customFormat="false" ht="15" hidden="false" customHeight="false" outlineLevel="0" collapsed="false">
      <c r="A86" s="23" t="s">
        <v>170</v>
      </c>
      <c r="B86" s="24" t="n">
        <v>45732</v>
      </c>
      <c r="C86" s="23" t="n">
        <f aca="false">MONTH(B86)</f>
        <v>3</v>
      </c>
      <c r="D86" s="23" t="s">
        <v>17</v>
      </c>
      <c r="E86" s="23" t="s">
        <v>116</v>
      </c>
      <c r="F86" s="23" t="s">
        <v>74</v>
      </c>
      <c r="G86" s="23" t="str">
        <f aca="false">IFERROR(INDEX(Products!$B$2:$B$13,MATCH(F86,Products!$A$2:$A$13,0)),"Unknown")</f>
        <v>Monitors</v>
      </c>
      <c r="H86" s="23" t="n">
        <v>2</v>
      </c>
      <c r="I86" s="25" t="n">
        <f aca="false">IFERROR(INDEX(Products!$C$2:$C$13,MATCH(F86,Products!$A$2:$A$13,0)),0)</f>
        <v>310</v>
      </c>
      <c r="J86" s="25" t="n">
        <f aca="false">H86*I86</f>
        <v>620</v>
      </c>
      <c r="K86" s="25" t="n">
        <f aca="false">IFERROR(INDEX(Products!$D$2:$D$13,MATCH(F86,Products!$A$2:$A$13,0)),0)</f>
        <v>225</v>
      </c>
      <c r="L86" s="25" t="n">
        <f aca="false">H86*K86</f>
        <v>450</v>
      </c>
      <c r="M86" s="25" t="n">
        <f aca="false">J86-L86</f>
        <v>170</v>
      </c>
    </row>
    <row r="87" customFormat="false" ht="15" hidden="false" customHeight="false" outlineLevel="0" collapsed="false">
      <c r="A87" s="23" t="s">
        <v>171</v>
      </c>
      <c r="B87" s="24" t="n">
        <v>45733</v>
      </c>
      <c r="C87" s="23" t="n">
        <f aca="false">MONTH(B87)</f>
        <v>3</v>
      </c>
      <c r="D87" s="23" t="s">
        <v>19</v>
      </c>
      <c r="E87" s="23" t="s">
        <v>70</v>
      </c>
      <c r="F87" s="23" t="s">
        <v>104</v>
      </c>
      <c r="G87" s="23" t="str">
        <f aca="false">IFERROR(INDEX(Products!$B$2:$B$13,MATCH(F87,Products!$A$2:$A$13,0)),"Unknown")</f>
        <v>Phones</v>
      </c>
      <c r="H87" s="23" t="n">
        <v>1</v>
      </c>
      <c r="I87" s="25" t="n">
        <f aca="false">IFERROR(INDEX(Products!$C$2:$C$13,MATCH(F87,Products!$A$2:$A$13,0)),0)</f>
        <v>290</v>
      </c>
      <c r="J87" s="25" t="n">
        <f aca="false">H87*I87</f>
        <v>290</v>
      </c>
      <c r="K87" s="25" t="n">
        <f aca="false">IFERROR(INDEX(Products!$D$2:$D$13,MATCH(F87,Products!$A$2:$A$13,0)),0)</f>
        <v>205</v>
      </c>
      <c r="L87" s="25" t="n">
        <f aca="false">H87*K87</f>
        <v>205</v>
      </c>
      <c r="M87" s="25" t="n">
        <f aca="false">J87-L87</f>
        <v>85</v>
      </c>
    </row>
    <row r="88" customFormat="false" ht="15" hidden="false" customHeight="false" outlineLevel="0" collapsed="false">
      <c r="A88" s="23" t="s">
        <v>172</v>
      </c>
      <c r="B88" s="24" t="n">
        <v>45733</v>
      </c>
      <c r="C88" s="23" t="n">
        <f aca="false">MONTH(B88)</f>
        <v>3</v>
      </c>
      <c r="D88" s="23" t="s">
        <v>21</v>
      </c>
      <c r="E88" s="23" t="s">
        <v>87</v>
      </c>
      <c r="F88" s="23" t="s">
        <v>88</v>
      </c>
      <c r="G88" s="23" t="str">
        <f aca="false">IFERROR(INDEX(Products!$B$2:$B$13,MATCH(F88,Products!$A$2:$A$13,0)),"Unknown")</f>
        <v>Accessories</v>
      </c>
      <c r="H88" s="23" t="n">
        <v>9</v>
      </c>
      <c r="I88" s="25" t="n">
        <f aca="false">IFERROR(INDEX(Products!$C$2:$C$13,MATCH(F88,Products!$A$2:$A$13,0)),0)</f>
        <v>85</v>
      </c>
      <c r="J88" s="25" t="n">
        <f aca="false">H88*I88</f>
        <v>765</v>
      </c>
      <c r="K88" s="25" t="n">
        <f aca="false">IFERROR(INDEX(Products!$D$2:$D$13,MATCH(F88,Products!$A$2:$A$13,0)),0)</f>
        <v>38</v>
      </c>
      <c r="L88" s="25" t="n">
        <f aca="false">H88*K88</f>
        <v>342</v>
      </c>
      <c r="M88" s="25" t="n">
        <f aca="false">J88-L88</f>
        <v>423</v>
      </c>
    </row>
    <row r="89" customFormat="false" ht="15" hidden="false" customHeight="false" outlineLevel="0" collapsed="false">
      <c r="A89" s="23" t="s">
        <v>173</v>
      </c>
      <c r="B89" s="24" t="n">
        <v>45733</v>
      </c>
      <c r="C89" s="23" t="n">
        <f aca="false">MONTH(B89)</f>
        <v>3</v>
      </c>
      <c r="D89" s="23" t="s">
        <v>23</v>
      </c>
      <c r="E89" s="23" t="s">
        <v>77</v>
      </c>
      <c r="F89" s="23" t="s">
        <v>71</v>
      </c>
      <c r="G89" s="23" t="str">
        <f aca="false">IFERROR(INDEX(Products!$B$2:$B$13,MATCH(F89,Products!$A$2:$A$13,0)),"Unknown")</f>
        <v>Accessories</v>
      </c>
      <c r="H89" s="23" t="n">
        <v>3</v>
      </c>
      <c r="I89" s="25" t="n">
        <f aca="false">IFERROR(INDEX(Products!$C$2:$C$13,MATCH(F89,Products!$A$2:$A$13,0)),0)</f>
        <v>45</v>
      </c>
      <c r="J89" s="25" t="n">
        <f aca="false">H89*I89</f>
        <v>135</v>
      </c>
      <c r="K89" s="25" t="n">
        <f aca="false">IFERROR(INDEX(Products!$D$2:$D$13,MATCH(F89,Products!$A$2:$A$13,0)),0)</f>
        <v>18</v>
      </c>
      <c r="L89" s="25" t="n">
        <f aca="false">H89*K89</f>
        <v>54</v>
      </c>
      <c r="M89" s="25" t="n">
        <f aca="false">J89-L89</f>
        <v>81</v>
      </c>
    </row>
    <row r="90" customFormat="false" ht="15" hidden="false" customHeight="false" outlineLevel="0" collapsed="false">
      <c r="A90" s="23" t="s">
        <v>174</v>
      </c>
      <c r="B90" s="24" t="n">
        <v>45734</v>
      </c>
      <c r="C90" s="23" t="n">
        <f aca="false">MONTH(B90)</f>
        <v>3</v>
      </c>
      <c r="D90" s="23" t="s">
        <v>19</v>
      </c>
      <c r="E90" s="23" t="s">
        <v>70</v>
      </c>
      <c r="F90" s="23" t="s">
        <v>74</v>
      </c>
      <c r="G90" s="23" t="str">
        <f aca="false">IFERROR(INDEX(Products!$B$2:$B$13,MATCH(F90,Products!$A$2:$A$13,0)),"Unknown")</f>
        <v>Monitors</v>
      </c>
      <c r="H90" s="23" t="n">
        <v>1</v>
      </c>
      <c r="I90" s="25" t="n">
        <f aca="false">IFERROR(INDEX(Products!$C$2:$C$13,MATCH(F90,Products!$A$2:$A$13,0)),0)</f>
        <v>310</v>
      </c>
      <c r="J90" s="25" t="n">
        <f aca="false">H90*I90</f>
        <v>310</v>
      </c>
      <c r="K90" s="25" t="n">
        <f aca="false">IFERROR(INDEX(Products!$D$2:$D$13,MATCH(F90,Products!$A$2:$A$13,0)),0)</f>
        <v>225</v>
      </c>
      <c r="L90" s="25" t="n">
        <f aca="false">H90*K90</f>
        <v>225</v>
      </c>
      <c r="M90" s="25" t="n">
        <f aca="false">J90-L90</f>
        <v>85</v>
      </c>
    </row>
    <row r="91" customFormat="false" ht="15" hidden="false" customHeight="false" outlineLevel="0" collapsed="false">
      <c r="A91" s="23" t="s">
        <v>175</v>
      </c>
      <c r="B91" s="24" t="n">
        <v>45734</v>
      </c>
      <c r="C91" s="23" t="n">
        <f aca="false">MONTH(B91)</f>
        <v>3</v>
      </c>
      <c r="D91" s="23" t="s">
        <v>17</v>
      </c>
      <c r="E91" s="23" t="s">
        <v>116</v>
      </c>
      <c r="F91" s="23" t="s">
        <v>68</v>
      </c>
      <c r="G91" s="23" t="str">
        <f aca="false">IFERROR(INDEX(Products!$B$2:$B$13,MATCH(F91,Products!$A$2:$A$13,0)),"Unknown")</f>
        <v>Laptops</v>
      </c>
      <c r="H91" s="23" t="n">
        <v>2</v>
      </c>
      <c r="I91" s="25" t="n">
        <f aca="false">IFERROR(INDEX(Products!$C$2:$C$13,MATCH(F91,Products!$A$2:$A$13,0)),0)</f>
        <v>780</v>
      </c>
      <c r="J91" s="25" t="n">
        <f aca="false">H91*I91</f>
        <v>1560</v>
      </c>
      <c r="K91" s="25" t="n">
        <f aca="false">IFERROR(INDEX(Products!$D$2:$D$13,MATCH(F91,Products!$A$2:$A$13,0)),0)</f>
        <v>590</v>
      </c>
      <c r="L91" s="25" t="n">
        <f aca="false">H91*K91</f>
        <v>1180</v>
      </c>
      <c r="M91" s="25" t="n">
        <f aca="false">J91-L91</f>
        <v>380</v>
      </c>
    </row>
    <row r="92" customFormat="false" ht="15" hidden="false" customHeight="false" outlineLevel="0" collapsed="false">
      <c r="A92" s="23" t="s">
        <v>176</v>
      </c>
      <c r="B92" s="24" t="n">
        <v>45735</v>
      </c>
      <c r="C92" s="23" t="n">
        <f aca="false">MONTH(B92)</f>
        <v>3</v>
      </c>
      <c r="D92" s="23" t="s">
        <v>21</v>
      </c>
      <c r="E92" s="23" t="s">
        <v>87</v>
      </c>
      <c r="F92" s="23" t="s">
        <v>81</v>
      </c>
      <c r="G92" s="23" t="str">
        <f aca="false">IFERROR(INDEX(Products!$B$2:$B$13,MATCH(F92,Products!$A$2:$A$13,0)),"Unknown")</f>
        <v>Laptops</v>
      </c>
      <c r="H92" s="23" t="n">
        <v>4</v>
      </c>
      <c r="I92" s="25" t="n">
        <f aca="false">IFERROR(INDEX(Products!$C$2:$C$13,MATCH(F92,Products!$A$2:$A$13,0)),0)</f>
        <v>950</v>
      </c>
      <c r="J92" s="25" t="n">
        <f aca="false">H92*I92</f>
        <v>3800</v>
      </c>
      <c r="K92" s="25" t="n">
        <f aca="false">IFERROR(INDEX(Products!$D$2:$D$13,MATCH(F92,Products!$A$2:$A$13,0)),0)</f>
        <v>720</v>
      </c>
      <c r="L92" s="25" t="n">
        <f aca="false">H92*K92</f>
        <v>2880</v>
      </c>
      <c r="M92" s="25" t="n">
        <f aca="false">J92-L92</f>
        <v>920</v>
      </c>
    </row>
    <row r="93" customFormat="false" ht="15" hidden="false" customHeight="false" outlineLevel="0" collapsed="false">
      <c r="A93" s="23" t="s">
        <v>177</v>
      </c>
      <c r="B93" s="24" t="n">
        <v>45735</v>
      </c>
      <c r="C93" s="23" t="n">
        <f aca="false">MONTH(B93)</f>
        <v>3</v>
      </c>
      <c r="D93" s="23" t="s">
        <v>19</v>
      </c>
      <c r="E93" s="23" t="s">
        <v>73</v>
      </c>
      <c r="F93" s="23" t="s">
        <v>83</v>
      </c>
      <c r="G93" s="23" t="str">
        <f aca="false">IFERROR(INDEX(Products!$B$2:$B$13,MATCH(F93,Products!$A$2:$A$13,0)),"Unknown")</f>
        <v>Phones</v>
      </c>
      <c r="H93" s="23" t="n">
        <v>4</v>
      </c>
      <c r="I93" s="25" t="n">
        <f aca="false">IFERROR(INDEX(Products!$C$2:$C$13,MATCH(F93,Products!$A$2:$A$13,0)),0)</f>
        <v>640</v>
      </c>
      <c r="J93" s="25" t="n">
        <f aca="false">H93*I93</f>
        <v>2560</v>
      </c>
      <c r="K93" s="25" t="n">
        <f aca="false">IFERROR(INDEX(Products!$D$2:$D$13,MATCH(F93,Products!$A$2:$A$13,0)),0)</f>
        <v>470</v>
      </c>
      <c r="L93" s="25" t="n">
        <f aca="false">H93*K93</f>
        <v>1880</v>
      </c>
      <c r="M93" s="25" t="n">
        <f aca="false">J93-L93</f>
        <v>680</v>
      </c>
    </row>
    <row r="94" customFormat="false" ht="15" hidden="false" customHeight="false" outlineLevel="0" collapsed="false">
      <c r="A94" s="23" t="s">
        <v>178</v>
      </c>
      <c r="B94" s="24" t="n">
        <v>45736</v>
      </c>
      <c r="C94" s="23" t="n">
        <f aca="false">MONTH(B94)</f>
        <v>3</v>
      </c>
      <c r="D94" s="23" t="s">
        <v>19</v>
      </c>
      <c r="E94" s="23" t="s">
        <v>73</v>
      </c>
      <c r="F94" s="23" t="s">
        <v>74</v>
      </c>
      <c r="G94" s="23" t="str">
        <f aca="false">IFERROR(INDEX(Products!$B$2:$B$13,MATCH(F94,Products!$A$2:$A$13,0)),"Unknown")</f>
        <v>Monitors</v>
      </c>
      <c r="H94" s="23" t="n">
        <v>2</v>
      </c>
      <c r="I94" s="25" t="n">
        <f aca="false">IFERROR(INDEX(Products!$C$2:$C$13,MATCH(F94,Products!$A$2:$A$13,0)),0)</f>
        <v>310</v>
      </c>
      <c r="J94" s="25" t="n">
        <f aca="false">H94*I94</f>
        <v>620</v>
      </c>
      <c r="K94" s="25" t="n">
        <f aca="false">IFERROR(INDEX(Products!$D$2:$D$13,MATCH(F94,Products!$A$2:$A$13,0)),0)</f>
        <v>225</v>
      </c>
      <c r="L94" s="25" t="n">
        <f aca="false">H94*K94</f>
        <v>450</v>
      </c>
      <c r="M94" s="25" t="n">
        <f aca="false">J94-L94</f>
        <v>170</v>
      </c>
    </row>
    <row r="95" customFormat="false" ht="15" hidden="false" customHeight="false" outlineLevel="0" collapsed="false">
      <c r="A95" s="23" t="s">
        <v>179</v>
      </c>
      <c r="B95" s="24" t="n">
        <v>45736</v>
      </c>
      <c r="C95" s="23" t="n">
        <f aca="false">MONTH(B95)</f>
        <v>3</v>
      </c>
      <c r="D95" s="23" t="s">
        <v>21</v>
      </c>
      <c r="E95" s="23" t="s">
        <v>87</v>
      </c>
      <c r="F95" s="23" t="s">
        <v>88</v>
      </c>
      <c r="G95" s="23" t="str">
        <f aca="false">IFERROR(INDEX(Products!$B$2:$B$13,MATCH(F95,Products!$A$2:$A$13,0)),"Unknown")</f>
        <v>Accessories</v>
      </c>
      <c r="H95" s="23" t="n">
        <v>3</v>
      </c>
      <c r="I95" s="25" t="n">
        <f aca="false">IFERROR(INDEX(Products!$C$2:$C$13,MATCH(F95,Products!$A$2:$A$13,0)),0)</f>
        <v>85</v>
      </c>
      <c r="J95" s="25" t="n">
        <f aca="false">H95*I95</f>
        <v>255</v>
      </c>
      <c r="K95" s="25" t="n">
        <f aca="false">IFERROR(INDEX(Products!$D$2:$D$13,MATCH(F95,Products!$A$2:$A$13,0)),0)</f>
        <v>38</v>
      </c>
      <c r="L95" s="25" t="n">
        <f aca="false">H95*K95</f>
        <v>114</v>
      </c>
      <c r="M95" s="25" t="n">
        <f aca="false">J95-L95</f>
        <v>141</v>
      </c>
    </row>
    <row r="96" customFormat="false" ht="15" hidden="false" customHeight="false" outlineLevel="0" collapsed="false">
      <c r="A96" s="23" t="s">
        <v>180</v>
      </c>
      <c r="B96" s="24" t="n">
        <v>45736</v>
      </c>
      <c r="C96" s="23" t="n">
        <f aca="false">MONTH(B96)</f>
        <v>3</v>
      </c>
      <c r="D96" s="23" t="s">
        <v>23</v>
      </c>
      <c r="E96" s="23" t="s">
        <v>77</v>
      </c>
      <c r="F96" s="23" t="s">
        <v>71</v>
      </c>
      <c r="G96" s="23" t="str">
        <f aca="false">IFERROR(INDEX(Products!$B$2:$B$13,MATCH(F96,Products!$A$2:$A$13,0)),"Unknown")</f>
        <v>Accessories</v>
      </c>
      <c r="H96" s="23" t="n">
        <v>15</v>
      </c>
      <c r="I96" s="25" t="n">
        <f aca="false">IFERROR(INDEX(Products!$C$2:$C$13,MATCH(F96,Products!$A$2:$A$13,0)),0)</f>
        <v>45</v>
      </c>
      <c r="J96" s="25" t="n">
        <f aca="false">H96*I96</f>
        <v>675</v>
      </c>
      <c r="K96" s="25" t="n">
        <f aca="false">IFERROR(INDEX(Products!$D$2:$D$13,MATCH(F96,Products!$A$2:$A$13,0)),0)</f>
        <v>18</v>
      </c>
      <c r="L96" s="25" t="n">
        <f aca="false">H96*K96</f>
        <v>270</v>
      </c>
      <c r="M96" s="25" t="n">
        <f aca="false">J96-L96</f>
        <v>405</v>
      </c>
    </row>
    <row r="97" customFormat="false" ht="15" hidden="false" customHeight="false" outlineLevel="0" collapsed="false">
      <c r="A97" s="23" t="s">
        <v>181</v>
      </c>
      <c r="B97" s="24" t="n">
        <v>45736</v>
      </c>
      <c r="C97" s="23" t="n">
        <f aca="false">MONTH(B97)</f>
        <v>3</v>
      </c>
      <c r="D97" s="23" t="s">
        <v>17</v>
      </c>
      <c r="E97" s="23" t="s">
        <v>67</v>
      </c>
      <c r="F97" s="23" t="s">
        <v>74</v>
      </c>
      <c r="G97" s="23" t="str">
        <f aca="false">IFERROR(INDEX(Products!$B$2:$B$13,MATCH(F97,Products!$A$2:$A$13,0)),"Unknown")</f>
        <v>Monitors</v>
      </c>
      <c r="H97" s="23" t="n">
        <v>1</v>
      </c>
      <c r="I97" s="25" t="n">
        <f aca="false">IFERROR(INDEX(Products!$C$2:$C$13,MATCH(F97,Products!$A$2:$A$13,0)),0)</f>
        <v>310</v>
      </c>
      <c r="J97" s="25" t="n">
        <f aca="false">H97*I97</f>
        <v>310</v>
      </c>
      <c r="K97" s="25" t="n">
        <f aca="false">IFERROR(INDEX(Products!$D$2:$D$13,MATCH(F97,Products!$A$2:$A$13,0)),0)</f>
        <v>225</v>
      </c>
      <c r="L97" s="25" t="n">
        <f aca="false">H97*K97</f>
        <v>225</v>
      </c>
      <c r="M97" s="25" t="n">
        <f aca="false">J97-L97</f>
        <v>85</v>
      </c>
    </row>
    <row r="98" customFormat="false" ht="15" hidden="false" customHeight="false" outlineLevel="0" collapsed="false">
      <c r="A98" s="23" t="s">
        <v>182</v>
      </c>
      <c r="B98" s="24" t="n">
        <v>45737</v>
      </c>
      <c r="C98" s="23" t="n">
        <f aca="false">MONTH(B98)</f>
        <v>3</v>
      </c>
      <c r="D98" s="23" t="s">
        <v>23</v>
      </c>
      <c r="E98" s="23" t="s">
        <v>77</v>
      </c>
      <c r="F98" s="23" t="s">
        <v>68</v>
      </c>
      <c r="G98" s="23" t="str">
        <f aca="false">IFERROR(INDEX(Products!$B$2:$B$13,MATCH(F98,Products!$A$2:$A$13,0)),"Unknown")</f>
        <v>Laptops</v>
      </c>
      <c r="H98" s="23" t="n">
        <v>5</v>
      </c>
      <c r="I98" s="25" t="n">
        <f aca="false">IFERROR(INDEX(Products!$C$2:$C$13,MATCH(F98,Products!$A$2:$A$13,0)),0)</f>
        <v>780</v>
      </c>
      <c r="J98" s="25" t="n">
        <f aca="false">H98*I98</f>
        <v>3900</v>
      </c>
      <c r="K98" s="25" t="n">
        <f aca="false">IFERROR(INDEX(Products!$D$2:$D$13,MATCH(F98,Products!$A$2:$A$13,0)),0)</f>
        <v>590</v>
      </c>
      <c r="L98" s="25" t="n">
        <f aca="false">H98*K98</f>
        <v>2950</v>
      </c>
      <c r="M98" s="25" t="n">
        <f aca="false">J98-L98</f>
        <v>950</v>
      </c>
    </row>
    <row r="99" customFormat="false" ht="15" hidden="false" customHeight="false" outlineLevel="0" collapsed="false">
      <c r="A99" s="23" t="s">
        <v>183</v>
      </c>
      <c r="B99" s="24" t="n">
        <v>45738</v>
      </c>
      <c r="C99" s="23" t="n">
        <f aca="false">MONTH(B99)</f>
        <v>3</v>
      </c>
      <c r="D99" s="23" t="s">
        <v>23</v>
      </c>
      <c r="E99" s="23" t="s">
        <v>85</v>
      </c>
      <c r="F99" s="23" t="s">
        <v>88</v>
      </c>
      <c r="G99" s="23" t="str">
        <f aca="false">IFERROR(INDEX(Products!$B$2:$B$13,MATCH(F99,Products!$A$2:$A$13,0)),"Unknown")</f>
        <v>Accessories</v>
      </c>
      <c r="H99" s="23" t="n">
        <v>3</v>
      </c>
      <c r="I99" s="25" t="n">
        <f aca="false">IFERROR(INDEX(Products!$C$2:$C$13,MATCH(F99,Products!$A$2:$A$13,0)),0)</f>
        <v>85</v>
      </c>
      <c r="J99" s="25" t="n">
        <f aca="false">H99*I99</f>
        <v>255</v>
      </c>
      <c r="K99" s="25" t="n">
        <f aca="false">IFERROR(INDEX(Products!$D$2:$D$13,MATCH(F99,Products!$A$2:$A$13,0)),0)</f>
        <v>38</v>
      </c>
      <c r="L99" s="25" t="n">
        <f aca="false">H99*K99</f>
        <v>114</v>
      </c>
      <c r="M99" s="25" t="n">
        <f aca="false">J99-L99</f>
        <v>141</v>
      </c>
    </row>
    <row r="100" customFormat="false" ht="15" hidden="false" customHeight="false" outlineLevel="0" collapsed="false">
      <c r="A100" s="23" t="s">
        <v>184</v>
      </c>
      <c r="B100" s="24" t="n">
        <v>45739</v>
      </c>
      <c r="C100" s="23" t="n">
        <f aca="false">MONTH(B100)</f>
        <v>3</v>
      </c>
      <c r="D100" s="23" t="s">
        <v>21</v>
      </c>
      <c r="E100" s="23" t="s">
        <v>87</v>
      </c>
      <c r="F100" s="23" t="s">
        <v>88</v>
      </c>
      <c r="G100" s="23" t="str">
        <f aca="false">IFERROR(INDEX(Products!$B$2:$B$13,MATCH(F100,Products!$A$2:$A$13,0)),"Unknown")</f>
        <v>Accessories</v>
      </c>
      <c r="H100" s="23" t="n">
        <v>6</v>
      </c>
      <c r="I100" s="25" t="n">
        <f aca="false">IFERROR(INDEX(Products!$C$2:$C$13,MATCH(F100,Products!$A$2:$A$13,0)),0)</f>
        <v>85</v>
      </c>
      <c r="J100" s="25" t="n">
        <f aca="false">H100*I100</f>
        <v>510</v>
      </c>
      <c r="K100" s="25" t="n">
        <f aca="false">IFERROR(INDEX(Products!$D$2:$D$13,MATCH(F100,Products!$A$2:$A$13,0)),0)</f>
        <v>38</v>
      </c>
      <c r="L100" s="25" t="n">
        <f aca="false">H100*K100</f>
        <v>228</v>
      </c>
      <c r="M100" s="25" t="n">
        <f aca="false">J100-L100</f>
        <v>282</v>
      </c>
    </row>
    <row r="101" customFormat="false" ht="15" hidden="false" customHeight="false" outlineLevel="0" collapsed="false">
      <c r="A101" s="23" t="s">
        <v>185</v>
      </c>
      <c r="B101" s="24" t="n">
        <v>45739</v>
      </c>
      <c r="C101" s="23" t="n">
        <f aca="false">MONTH(B101)</f>
        <v>3</v>
      </c>
      <c r="D101" s="23" t="s">
        <v>19</v>
      </c>
      <c r="E101" s="23" t="s">
        <v>70</v>
      </c>
      <c r="F101" s="23" t="s">
        <v>79</v>
      </c>
      <c r="G101" s="23" t="str">
        <f aca="false">IFERROR(INDEX(Products!$B$2:$B$13,MATCH(F101,Products!$A$2:$A$13,0)),"Unknown")</f>
        <v>Accessories</v>
      </c>
      <c r="H101" s="23" t="n">
        <v>3</v>
      </c>
      <c r="I101" s="25" t="n">
        <f aca="false">IFERROR(INDEX(Products!$C$2:$C$13,MATCH(F101,Products!$A$2:$A$13,0)),0)</f>
        <v>190</v>
      </c>
      <c r="J101" s="25" t="n">
        <f aca="false">H101*I101</f>
        <v>570</v>
      </c>
      <c r="K101" s="25" t="n">
        <f aca="false">IFERROR(INDEX(Products!$D$2:$D$13,MATCH(F101,Products!$A$2:$A$13,0)),0)</f>
        <v>115</v>
      </c>
      <c r="L101" s="25" t="n">
        <f aca="false">H101*K101</f>
        <v>345</v>
      </c>
      <c r="M101" s="25" t="n">
        <f aca="false">J101-L101</f>
        <v>225</v>
      </c>
    </row>
    <row r="102" customFormat="false" ht="15" hidden="false" customHeight="false" outlineLevel="0" collapsed="false">
      <c r="A102" s="23" t="s">
        <v>186</v>
      </c>
      <c r="B102" s="24" t="n">
        <v>45740</v>
      </c>
      <c r="C102" s="23" t="n">
        <f aca="false">MONTH(B102)</f>
        <v>3</v>
      </c>
      <c r="D102" s="23" t="s">
        <v>21</v>
      </c>
      <c r="E102" s="23" t="s">
        <v>90</v>
      </c>
      <c r="F102" s="23" t="s">
        <v>71</v>
      </c>
      <c r="G102" s="23" t="str">
        <f aca="false">IFERROR(INDEX(Products!$B$2:$B$13,MATCH(F102,Products!$A$2:$A$13,0)),"Unknown")</f>
        <v>Accessories</v>
      </c>
      <c r="H102" s="23" t="n">
        <v>12</v>
      </c>
      <c r="I102" s="25" t="n">
        <f aca="false">IFERROR(INDEX(Products!$C$2:$C$13,MATCH(F102,Products!$A$2:$A$13,0)),0)</f>
        <v>45</v>
      </c>
      <c r="J102" s="25" t="n">
        <f aca="false">H102*I102</f>
        <v>540</v>
      </c>
      <c r="K102" s="25" t="n">
        <f aca="false">IFERROR(INDEX(Products!$D$2:$D$13,MATCH(F102,Products!$A$2:$A$13,0)),0)</f>
        <v>18</v>
      </c>
      <c r="L102" s="25" t="n">
        <f aca="false">H102*K102</f>
        <v>216</v>
      </c>
      <c r="M102" s="25" t="n">
        <f aca="false">J102-L102</f>
        <v>324</v>
      </c>
    </row>
    <row r="103" customFormat="false" ht="15" hidden="false" customHeight="false" outlineLevel="0" collapsed="false">
      <c r="A103" s="23" t="s">
        <v>187</v>
      </c>
      <c r="B103" s="24" t="n">
        <v>45740</v>
      </c>
      <c r="C103" s="23" t="n">
        <f aca="false">MONTH(B103)</f>
        <v>3</v>
      </c>
      <c r="D103" s="23" t="s">
        <v>21</v>
      </c>
      <c r="E103" s="23" t="s">
        <v>87</v>
      </c>
      <c r="F103" s="23" t="s">
        <v>91</v>
      </c>
      <c r="G103" s="23" t="str">
        <f aca="false">IFERROR(INDEX(Products!$B$2:$B$13,MATCH(F103,Products!$A$2:$A$13,0)),"Unknown")</f>
        <v>Tablets</v>
      </c>
      <c r="H103" s="23" t="n">
        <v>1</v>
      </c>
      <c r="I103" s="25" t="n">
        <f aca="false">IFERROR(INDEX(Products!$C$2:$C$13,MATCH(F103,Products!$A$2:$A$13,0)),0)</f>
        <v>420</v>
      </c>
      <c r="J103" s="25" t="n">
        <f aca="false">H103*I103</f>
        <v>420</v>
      </c>
      <c r="K103" s="25" t="n">
        <f aca="false">IFERROR(INDEX(Products!$D$2:$D$13,MATCH(F103,Products!$A$2:$A$13,0)),0)</f>
        <v>300</v>
      </c>
      <c r="L103" s="25" t="n">
        <f aca="false">H103*K103</f>
        <v>300</v>
      </c>
      <c r="M103" s="25" t="n">
        <f aca="false">J103-L103</f>
        <v>120</v>
      </c>
    </row>
    <row r="104" customFormat="false" ht="15" hidden="false" customHeight="false" outlineLevel="0" collapsed="false">
      <c r="A104" s="23" t="s">
        <v>188</v>
      </c>
      <c r="B104" s="24" t="n">
        <v>45740</v>
      </c>
      <c r="C104" s="23" t="n">
        <f aca="false">MONTH(B104)</f>
        <v>3</v>
      </c>
      <c r="D104" s="23" t="s">
        <v>23</v>
      </c>
      <c r="E104" s="23" t="s">
        <v>85</v>
      </c>
      <c r="F104" s="23" t="s">
        <v>91</v>
      </c>
      <c r="G104" s="23" t="str">
        <f aca="false">IFERROR(INDEX(Products!$B$2:$B$13,MATCH(F104,Products!$A$2:$A$13,0)),"Unknown")</f>
        <v>Tablets</v>
      </c>
      <c r="H104" s="23" t="n">
        <v>2</v>
      </c>
      <c r="I104" s="25" t="n">
        <f aca="false">IFERROR(INDEX(Products!$C$2:$C$13,MATCH(F104,Products!$A$2:$A$13,0)),0)</f>
        <v>420</v>
      </c>
      <c r="J104" s="25" t="n">
        <f aca="false">H104*I104</f>
        <v>840</v>
      </c>
      <c r="K104" s="25" t="n">
        <f aca="false">IFERROR(INDEX(Products!$D$2:$D$13,MATCH(F104,Products!$A$2:$A$13,0)),0)</f>
        <v>300</v>
      </c>
      <c r="L104" s="25" t="n">
        <f aca="false">H104*K104</f>
        <v>600</v>
      </c>
      <c r="M104" s="25" t="n">
        <f aca="false">J104-L104</f>
        <v>240</v>
      </c>
    </row>
    <row r="105" customFormat="false" ht="15" hidden="false" customHeight="false" outlineLevel="0" collapsed="false">
      <c r="A105" s="23" t="s">
        <v>189</v>
      </c>
      <c r="B105" s="24" t="n">
        <v>45741</v>
      </c>
      <c r="C105" s="23" t="n">
        <f aca="false">MONTH(B105)</f>
        <v>3</v>
      </c>
      <c r="D105" s="23" t="s">
        <v>21</v>
      </c>
      <c r="E105" s="23" t="s">
        <v>87</v>
      </c>
      <c r="F105" s="23" t="s">
        <v>104</v>
      </c>
      <c r="G105" s="23" t="str">
        <f aca="false">IFERROR(INDEX(Products!$B$2:$B$13,MATCH(F105,Products!$A$2:$A$13,0)),"Unknown")</f>
        <v>Phones</v>
      </c>
      <c r="H105" s="23" t="n">
        <v>4</v>
      </c>
      <c r="I105" s="25" t="n">
        <f aca="false">IFERROR(INDEX(Products!$C$2:$C$13,MATCH(F105,Products!$A$2:$A$13,0)),0)</f>
        <v>290</v>
      </c>
      <c r="J105" s="25" t="n">
        <f aca="false">H105*I105</f>
        <v>1160</v>
      </c>
      <c r="K105" s="25" t="n">
        <f aca="false">IFERROR(INDEX(Products!$D$2:$D$13,MATCH(F105,Products!$A$2:$A$13,0)),0)</f>
        <v>205</v>
      </c>
      <c r="L105" s="25" t="n">
        <f aca="false">H105*K105</f>
        <v>820</v>
      </c>
      <c r="M105" s="25" t="n">
        <f aca="false">J105-L105</f>
        <v>340</v>
      </c>
    </row>
    <row r="106" customFormat="false" ht="15" hidden="false" customHeight="false" outlineLevel="0" collapsed="false">
      <c r="A106" s="23" t="s">
        <v>190</v>
      </c>
      <c r="B106" s="24" t="n">
        <v>45741</v>
      </c>
      <c r="C106" s="23" t="n">
        <f aca="false">MONTH(B106)</f>
        <v>3</v>
      </c>
      <c r="D106" s="23" t="s">
        <v>23</v>
      </c>
      <c r="E106" s="23" t="s">
        <v>77</v>
      </c>
      <c r="F106" s="23" t="s">
        <v>83</v>
      </c>
      <c r="G106" s="23" t="str">
        <f aca="false">IFERROR(INDEX(Products!$B$2:$B$13,MATCH(F106,Products!$A$2:$A$13,0)),"Unknown")</f>
        <v>Phones</v>
      </c>
      <c r="H106" s="23" t="n">
        <v>5</v>
      </c>
      <c r="I106" s="25" t="n">
        <f aca="false">IFERROR(INDEX(Products!$C$2:$C$13,MATCH(F106,Products!$A$2:$A$13,0)),0)</f>
        <v>640</v>
      </c>
      <c r="J106" s="25" t="n">
        <f aca="false">H106*I106</f>
        <v>3200</v>
      </c>
      <c r="K106" s="25" t="n">
        <f aca="false">IFERROR(INDEX(Products!$D$2:$D$13,MATCH(F106,Products!$A$2:$A$13,0)),0)</f>
        <v>470</v>
      </c>
      <c r="L106" s="25" t="n">
        <f aca="false">H106*K106</f>
        <v>2350</v>
      </c>
      <c r="M106" s="25" t="n">
        <f aca="false">J106-L106</f>
        <v>850</v>
      </c>
    </row>
    <row r="107" customFormat="false" ht="15" hidden="false" customHeight="false" outlineLevel="0" collapsed="false">
      <c r="A107" s="23" t="s">
        <v>191</v>
      </c>
      <c r="B107" s="24" t="n">
        <v>45741</v>
      </c>
      <c r="C107" s="23" t="n">
        <f aca="false">MONTH(B107)</f>
        <v>3</v>
      </c>
      <c r="D107" s="23" t="s">
        <v>23</v>
      </c>
      <c r="E107" s="23" t="s">
        <v>85</v>
      </c>
      <c r="F107" s="23" t="s">
        <v>88</v>
      </c>
      <c r="G107" s="23" t="str">
        <f aca="false">IFERROR(INDEX(Products!$B$2:$B$13,MATCH(F107,Products!$A$2:$A$13,0)),"Unknown")</f>
        <v>Accessories</v>
      </c>
      <c r="H107" s="23" t="n">
        <v>6</v>
      </c>
      <c r="I107" s="25" t="n">
        <f aca="false">IFERROR(INDEX(Products!$C$2:$C$13,MATCH(F107,Products!$A$2:$A$13,0)),0)</f>
        <v>85</v>
      </c>
      <c r="J107" s="25" t="n">
        <f aca="false">H107*I107</f>
        <v>510</v>
      </c>
      <c r="K107" s="25" t="n">
        <f aca="false">IFERROR(INDEX(Products!$D$2:$D$13,MATCH(F107,Products!$A$2:$A$13,0)),0)</f>
        <v>38</v>
      </c>
      <c r="L107" s="25" t="n">
        <f aca="false">H107*K107</f>
        <v>228</v>
      </c>
      <c r="M107" s="25" t="n">
        <f aca="false">J107-L107</f>
        <v>282</v>
      </c>
    </row>
    <row r="108" customFormat="false" ht="15" hidden="false" customHeight="false" outlineLevel="0" collapsed="false">
      <c r="A108" s="23" t="s">
        <v>192</v>
      </c>
      <c r="B108" s="24" t="n">
        <v>45742</v>
      </c>
      <c r="C108" s="23" t="n">
        <f aca="false">MONTH(B108)</f>
        <v>3</v>
      </c>
      <c r="D108" s="23" t="s">
        <v>19</v>
      </c>
      <c r="E108" s="23" t="s">
        <v>73</v>
      </c>
      <c r="F108" s="23" t="s">
        <v>71</v>
      </c>
      <c r="G108" s="23" t="str">
        <f aca="false">IFERROR(INDEX(Products!$B$2:$B$13,MATCH(F108,Products!$A$2:$A$13,0)),"Unknown")</f>
        <v>Accessories</v>
      </c>
      <c r="H108" s="23" t="n">
        <v>3</v>
      </c>
      <c r="I108" s="25" t="n">
        <f aca="false">IFERROR(INDEX(Products!$C$2:$C$13,MATCH(F108,Products!$A$2:$A$13,0)),0)</f>
        <v>45</v>
      </c>
      <c r="J108" s="25" t="n">
        <f aca="false">H108*I108</f>
        <v>135</v>
      </c>
      <c r="K108" s="25" t="n">
        <f aca="false">IFERROR(INDEX(Products!$D$2:$D$13,MATCH(F108,Products!$A$2:$A$13,0)),0)</f>
        <v>18</v>
      </c>
      <c r="L108" s="25" t="n">
        <f aca="false">H108*K108</f>
        <v>54</v>
      </c>
      <c r="M108" s="25" t="n">
        <f aca="false">J108-L108</f>
        <v>81</v>
      </c>
    </row>
    <row r="109" customFormat="false" ht="15" hidden="false" customHeight="false" outlineLevel="0" collapsed="false">
      <c r="A109" s="23" t="s">
        <v>193</v>
      </c>
      <c r="B109" s="24" t="n">
        <v>45742</v>
      </c>
      <c r="C109" s="23" t="n">
        <f aca="false">MONTH(B109)</f>
        <v>3</v>
      </c>
      <c r="D109" s="23" t="s">
        <v>21</v>
      </c>
      <c r="E109" s="23" t="s">
        <v>90</v>
      </c>
      <c r="F109" s="23" t="s">
        <v>91</v>
      </c>
      <c r="G109" s="23" t="str">
        <f aca="false">IFERROR(INDEX(Products!$B$2:$B$13,MATCH(F109,Products!$A$2:$A$13,0)),"Unknown")</f>
        <v>Tablets</v>
      </c>
      <c r="H109" s="23" t="n">
        <v>5</v>
      </c>
      <c r="I109" s="25" t="n">
        <f aca="false">IFERROR(INDEX(Products!$C$2:$C$13,MATCH(F109,Products!$A$2:$A$13,0)),0)</f>
        <v>420</v>
      </c>
      <c r="J109" s="25" t="n">
        <f aca="false">H109*I109</f>
        <v>2100</v>
      </c>
      <c r="K109" s="25" t="n">
        <f aca="false">IFERROR(INDEX(Products!$D$2:$D$13,MATCH(F109,Products!$A$2:$A$13,0)),0)</f>
        <v>300</v>
      </c>
      <c r="L109" s="25" t="n">
        <f aca="false">H109*K109</f>
        <v>1500</v>
      </c>
      <c r="M109" s="25" t="n">
        <f aca="false">J109-L109</f>
        <v>600</v>
      </c>
    </row>
    <row r="110" customFormat="false" ht="15" hidden="false" customHeight="false" outlineLevel="0" collapsed="false">
      <c r="A110" s="23" t="s">
        <v>194</v>
      </c>
      <c r="B110" s="24" t="n">
        <v>45743</v>
      </c>
      <c r="C110" s="23" t="n">
        <f aca="false">MONTH(B110)</f>
        <v>3</v>
      </c>
      <c r="D110" s="23" t="s">
        <v>23</v>
      </c>
      <c r="E110" s="23" t="s">
        <v>77</v>
      </c>
      <c r="F110" s="23" t="s">
        <v>104</v>
      </c>
      <c r="G110" s="23" t="str">
        <f aca="false">IFERROR(INDEX(Products!$B$2:$B$13,MATCH(F110,Products!$A$2:$A$13,0)),"Unknown")</f>
        <v>Phones</v>
      </c>
      <c r="H110" s="23" t="n">
        <v>2</v>
      </c>
      <c r="I110" s="25" t="n">
        <f aca="false">IFERROR(INDEX(Products!$C$2:$C$13,MATCH(F110,Products!$A$2:$A$13,0)),0)</f>
        <v>290</v>
      </c>
      <c r="J110" s="25" t="n">
        <f aca="false">H110*I110</f>
        <v>580</v>
      </c>
      <c r="K110" s="25" t="n">
        <f aca="false">IFERROR(INDEX(Products!$D$2:$D$13,MATCH(F110,Products!$A$2:$A$13,0)),0)</f>
        <v>205</v>
      </c>
      <c r="L110" s="25" t="n">
        <f aca="false">H110*K110</f>
        <v>410</v>
      </c>
      <c r="M110" s="25" t="n">
        <f aca="false">J110-L110</f>
        <v>170</v>
      </c>
    </row>
    <row r="111" customFormat="false" ht="15" hidden="false" customHeight="false" outlineLevel="0" collapsed="false">
      <c r="A111" s="23" t="s">
        <v>195</v>
      </c>
      <c r="B111" s="24" t="n">
        <v>45744</v>
      </c>
      <c r="C111" s="23" t="n">
        <f aca="false">MONTH(B111)</f>
        <v>3</v>
      </c>
      <c r="D111" s="23" t="s">
        <v>17</v>
      </c>
      <c r="E111" s="23" t="s">
        <v>67</v>
      </c>
      <c r="F111" s="23" t="s">
        <v>71</v>
      </c>
      <c r="G111" s="23" t="str">
        <f aca="false">IFERROR(INDEX(Products!$B$2:$B$13,MATCH(F111,Products!$A$2:$A$13,0)),"Unknown")</f>
        <v>Accessories</v>
      </c>
      <c r="H111" s="23" t="n">
        <v>6</v>
      </c>
      <c r="I111" s="25" t="n">
        <f aca="false">IFERROR(INDEX(Products!$C$2:$C$13,MATCH(F111,Products!$A$2:$A$13,0)),0)</f>
        <v>45</v>
      </c>
      <c r="J111" s="25" t="n">
        <f aca="false">H111*I111</f>
        <v>270</v>
      </c>
      <c r="K111" s="25" t="n">
        <f aca="false">IFERROR(INDEX(Products!$D$2:$D$13,MATCH(F111,Products!$A$2:$A$13,0)),0)</f>
        <v>18</v>
      </c>
      <c r="L111" s="25" t="n">
        <f aca="false">H111*K111</f>
        <v>108</v>
      </c>
      <c r="M111" s="25" t="n">
        <f aca="false">J111-L111</f>
        <v>162</v>
      </c>
    </row>
    <row r="112" customFormat="false" ht="15" hidden="false" customHeight="false" outlineLevel="0" collapsed="false">
      <c r="A112" s="23" t="s">
        <v>196</v>
      </c>
      <c r="B112" s="24" t="n">
        <v>45744</v>
      </c>
      <c r="C112" s="23" t="n">
        <f aca="false">MONTH(B112)</f>
        <v>3</v>
      </c>
      <c r="D112" s="23" t="s">
        <v>23</v>
      </c>
      <c r="E112" s="23" t="s">
        <v>85</v>
      </c>
      <c r="F112" s="23" t="s">
        <v>96</v>
      </c>
      <c r="G112" s="23" t="str">
        <f aca="false">IFERROR(INDEX(Products!$B$2:$B$13,MATCH(F112,Products!$A$2:$A$13,0)),"Unknown")</f>
        <v>Tablets</v>
      </c>
      <c r="H112" s="23" t="n">
        <v>2</v>
      </c>
      <c r="I112" s="25" t="n">
        <f aca="false">IFERROR(INDEX(Products!$C$2:$C$13,MATCH(F112,Products!$A$2:$A$13,0)),0)</f>
        <v>260</v>
      </c>
      <c r="J112" s="25" t="n">
        <f aca="false">H112*I112</f>
        <v>520</v>
      </c>
      <c r="K112" s="25" t="n">
        <f aca="false">IFERROR(INDEX(Products!$D$2:$D$13,MATCH(F112,Products!$A$2:$A$13,0)),0)</f>
        <v>180</v>
      </c>
      <c r="L112" s="25" t="n">
        <f aca="false">H112*K112</f>
        <v>360</v>
      </c>
      <c r="M112" s="25" t="n">
        <f aca="false">J112-L112</f>
        <v>160</v>
      </c>
    </row>
    <row r="113" customFormat="false" ht="15" hidden="false" customHeight="false" outlineLevel="0" collapsed="false">
      <c r="A113" s="23" t="s">
        <v>197</v>
      </c>
      <c r="B113" s="24" t="n">
        <v>45748</v>
      </c>
      <c r="C113" s="23" t="n">
        <f aca="false">MONTH(B113)</f>
        <v>4</v>
      </c>
      <c r="D113" s="23" t="s">
        <v>17</v>
      </c>
      <c r="E113" s="23" t="s">
        <v>67</v>
      </c>
      <c r="F113" s="23" t="s">
        <v>98</v>
      </c>
      <c r="G113" s="23" t="str">
        <f aca="false">IFERROR(INDEX(Products!$B$2:$B$13,MATCH(F113,Products!$A$2:$A$13,0)),"Unknown")</f>
        <v>Monitors</v>
      </c>
      <c r="H113" s="23" t="n">
        <v>3</v>
      </c>
      <c r="I113" s="25" t="n">
        <f aca="false">IFERROR(INDEX(Products!$C$2:$C$13,MATCH(F113,Products!$A$2:$A$13,0)),0)</f>
        <v>480</v>
      </c>
      <c r="J113" s="25" t="n">
        <f aca="false">H113*I113</f>
        <v>1440</v>
      </c>
      <c r="K113" s="25" t="n">
        <f aca="false">IFERROR(INDEX(Products!$D$2:$D$13,MATCH(F113,Products!$A$2:$A$13,0)),0)</f>
        <v>350</v>
      </c>
      <c r="L113" s="25" t="n">
        <f aca="false">H113*K113</f>
        <v>1050</v>
      </c>
      <c r="M113" s="25" t="n">
        <f aca="false">J113-L113</f>
        <v>390</v>
      </c>
    </row>
    <row r="114" customFormat="false" ht="15" hidden="false" customHeight="false" outlineLevel="0" collapsed="false">
      <c r="A114" s="23" t="s">
        <v>198</v>
      </c>
      <c r="B114" s="24" t="n">
        <v>45748</v>
      </c>
      <c r="C114" s="23" t="n">
        <f aca="false">MONTH(B114)</f>
        <v>4</v>
      </c>
      <c r="D114" s="23" t="s">
        <v>23</v>
      </c>
      <c r="E114" s="23" t="s">
        <v>85</v>
      </c>
      <c r="F114" s="23" t="s">
        <v>71</v>
      </c>
      <c r="G114" s="23" t="str">
        <f aca="false">IFERROR(INDEX(Products!$B$2:$B$13,MATCH(F114,Products!$A$2:$A$13,0)),"Unknown")</f>
        <v>Accessories</v>
      </c>
      <c r="H114" s="23" t="n">
        <v>3</v>
      </c>
      <c r="I114" s="25" t="n">
        <f aca="false">IFERROR(INDEX(Products!$C$2:$C$13,MATCH(F114,Products!$A$2:$A$13,0)),0)</f>
        <v>45</v>
      </c>
      <c r="J114" s="25" t="n">
        <f aca="false">H114*I114</f>
        <v>135</v>
      </c>
      <c r="K114" s="25" t="n">
        <f aca="false">IFERROR(INDEX(Products!$D$2:$D$13,MATCH(F114,Products!$A$2:$A$13,0)),0)</f>
        <v>18</v>
      </c>
      <c r="L114" s="25" t="n">
        <f aca="false">H114*K114</f>
        <v>54</v>
      </c>
      <c r="M114" s="25" t="n">
        <f aca="false">J114-L114</f>
        <v>81</v>
      </c>
    </row>
    <row r="115" customFormat="false" ht="15" hidden="false" customHeight="false" outlineLevel="0" collapsed="false">
      <c r="A115" s="23" t="s">
        <v>199</v>
      </c>
      <c r="B115" s="24" t="n">
        <v>45749</v>
      </c>
      <c r="C115" s="23" t="n">
        <f aca="false">MONTH(B115)</f>
        <v>4</v>
      </c>
      <c r="D115" s="23" t="s">
        <v>21</v>
      </c>
      <c r="E115" s="23" t="s">
        <v>87</v>
      </c>
      <c r="F115" s="23" t="s">
        <v>104</v>
      </c>
      <c r="G115" s="23" t="str">
        <f aca="false">IFERROR(INDEX(Products!$B$2:$B$13,MATCH(F115,Products!$A$2:$A$13,0)),"Unknown")</f>
        <v>Phones</v>
      </c>
      <c r="H115" s="23" t="n">
        <v>2</v>
      </c>
      <c r="I115" s="25" t="n">
        <f aca="false">IFERROR(INDEX(Products!$C$2:$C$13,MATCH(F115,Products!$A$2:$A$13,0)),0)</f>
        <v>290</v>
      </c>
      <c r="J115" s="25" t="n">
        <f aca="false">H115*I115</f>
        <v>580</v>
      </c>
      <c r="K115" s="25" t="n">
        <f aca="false">IFERROR(INDEX(Products!$D$2:$D$13,MATCH(F115,Products!$A$2:$A$13,0)),0)</f>
        <v>205</v>
      </c>
      <c r="L115" s="25" t="n">
        <f aca="false">H115*K115</f>
        <v>410</v>
      </c>
      <c r="M115" s="25" t="n">
        <f aca="false">J115-L115</f>
        <v>170</v>
      </c>
    </row>
    <row r="116" customFormat="false" ht="15" hidden="false" customHeight="false" outlineLevel="0" collapsed="false">
      <c r="A116" s="23" t="s">
        <v>200</v>
      </c>
      <c r="B116" s="24" t="n">
        <v>45749</v>
      </c>
      <c r="C116" s="23" t="n">
        <f aca="false">MONTH(B116)</f>
        <v>4</v>
      </c>
      <c r="D116" s="23" t="s">
        <v>19</v>
      </c>
      <c r="E116" s="23" t="s">
        <v>70</v>
      </c>
      <c r="F116" s="23" t="s">
        <v>83</v>
      </c>
      <c r="G116" s="23" t="str">
        <f aca="false">IFERROR(INDEX(Products!$B$2:$B$13,MATCH(F116,Products!$A$2:$A$13,0)),"Unknown")</f>
        <v>Phones</v>
      </c>
      <c r="H116" s="23" t="n">
        <v>2</v>
      </c>
      <c r="I116" s="25" t="n">
        <f aca="false">IFERROR(INDEX(Products!$C$2:$C$13,MATCH(F116,Products!$A$2:$A$13,0)),0)</f>
        <v>640</v>
      </c>
      <c r="J116" s="25" t="n">
        <f aca="false">H116*I116</f>
        <v>1280</v>
      </c>
      <c r="K116" s="25" t="n">
        <f aca="false">IFERROR(INDEX(Products!$D$2:$D$13,MATCH(F116,Products!$A$2:$A$13,0)),0)</f>
        <v>470</v>
      </c>
      <c r="L116" s="25" t="n">
        <f aca="false">H116*K116</f>
        <v>940</v>
      </c>
      <c r="M116" s="25" t="n">
        <f aca="false">J116-L116</f>
        <v>340</v>
      </c>
    </row>
    <row r="117" customFormat="false" ht="15" hidden="false" customHeight="false" outlineLevel="0" collapsed="false">
      <c r="A117" s="23" t="s">
        <v>201</v>
      </c>
      <c r="B117" s="24" t="n">
        <v>45750</v>
      </c>
      <c r="C117" s="23" t="n">
        <f aca="false">MONTH(B117)</f>
        <v>4</v>
      </c>
      <c r="D117" s="23" t="s">
        <v>21</v>
      </c>
      <c r="E117" s="23" t="s">
        <v>87</v>
      </c>
      <c r="F117" s="23" t="s">
        <v>81</v>
      </c>
      <c r="G117" s="23" t="str">
        <f aca="false">IFERROR(INDEX(Products!$B$2:$B$13,MATCH(F117,Products!$A$2:$A$13,0)),"Unknown")</f>
        <v>Laptops</v>
      </c>
      <c r="H117" s="23" t="n">
        <v>4</v>
      </c>
      <c r="I117" s="25" t="n">
        <f aca="false">IFERROR(INDEX(Products!$C$2:$C$13,MATCH(F117,Products!$A$2:$A$13,0)),0)</f>
        <v>950</v>
      </c>
      <c r="J117" s="25" t="n">
        <f aca="false">H117*I117</f>
        <v>3800</v>
      </c>
      <c r="K117" s="25" t="n">
        <f aca="false">IFERROR(INDEX(Products!$D$2:$D$13,MATCH(F117,Products!$A$2:$A$13,0)),0)</f>
        <v>720</v>
      </c>
      <c r="L117" s="25" t="n">
        <f aca="false">H117*K117</f>
        <v>2880</v>
      </c>
      <c r="M117" s="25" t="n">
        <f aca="false">J117-L117</f>
        <v>920</v>
      </c>
    </row>
    <row r="118" customFormat="false" ht="15" hidden="false" customHeight="false" outlineLevel="0" collapsed="false">
      <c r="A118" s="23" t="s">
        <v>202</v>
      </c>
      <c r="B118" s="24" t="n">
        <v>45751</v>
      </c>
      <c r="C118" s="23" t="n">
        <f aca="false">MONTH(B118)</f>
        <v>4</v>
      </c>
      <c r="D118" s="23" t="s">
        <v>23</v>
      </c>
      <c r="E118" s="23" t="s">
        <v>77</v>
      </c>
      <c r="F118" s="23" t="s">
        <v>74</v>
      </c>
      <c r="G118" s="23" t="str">
        <f aca="false">IFERROR(INDEX(Products!$B$2:$B$13,MATCH(F118,Products!$A$2:$A$13,0)),"Unknown")</f>
        <v>Monitors</v>
      </c>
      <c r="H118" s="23" t="n">
        <v>5</v>
      </c>
      <c r="I118" s="25" t="n">
        <f aca="false">IFERROR(INDEX(Products!$C$2:$C$13,MATCH(F118,Products!$A$2:$A$13,0)),0)</f>
        <v>310</v>
      </c>
      <c r="J118" s="25" t="n">
        <f aca="false">H118*I118</f>
        <v>1550</v>
      </c>
      <c r="K118" s="25" t="n">
        <f aca="false">IFERROR(INDEX(Products!$D$2:$D$13,MATCH(F118,Products!$A$2:$A$13,0)),0)</f>
        <v>225</v>
      </c>
      <c r="L118" s="25" t="n">
        <f aca="false">H118*K118</f>
        <v>1125</v>
      </c>
      <c r="M118" s="25" t="n">
        <f aca="false">J118-L118</f>
        <v>425</v>
      </c>
    </row>
    <row r="119" customFormat="false" ht="15" hidden="false" customHeight="false" outlineLevel="0" collapsed="false">
      <c r="A119" s="23" t="s">
        <v>203</v>
      </c>
      <c r="B119" s="24" t="n">
        <v>45751</v>
      </c>
      <c r="C119" s="23" t="n">
        <f aca="false">MONTH(B119)</f>
        <v>4</v>
      </c>
      <c r="D119" s="23" t="s">
        <v>19</v>
      </c>
      <c r="E119" s="23" t="s">
        <v>70</v>
      </c>
      <c r="F119" s="23" t="s">
        <v>94</v>
      </c>
      <c r="G119" s="23" t="str">
        <f aca="false">IFERROR(INDEX(Products!$B$2:$B$13,MATCH(F119,Products!$A$2:$A$13,0)),"Unknown")</f>
        <v>Laptops</v>
      </c>
      <c r="H119" s="23" t="n">
        <v>5</v>
      </c>
      <c r="I119" s="25" t="n">
        <f aca="false">IFERROR(INDEX(Products!$C$2:$C$13,MATCH(F119,Products!$A$2:$A$13,0)),0)</f>
        <v>1350</v>
      </c>
      <c r="J119" s="25" t="n">
        <f aca="false">H119*I119</f>
        <v>6750</v>
      </c>
      <c r="K119" s="25" t="n">
        <f aca="false">IFERROR(INDEX(Products!$D$2:$D$13,MATCH(F119,Products!$A$2:$A$13,0)),0)</f>
        <v>1040</v>
      </c>
      <c r="L119" s="25" t="n">
        <f aca="false">H119*K119</f>
        <v>5200</v>
      </c>
      <c r="M119" s="25" t="n">
        <f aca="false">J119-L119</f>
        <v>1550</v>
      </c>
    </row>
    <row r="120" customFormat="false" ht="15" hidden="false" customHeight="false" outlineLevel="0" collapsed="false">
      <c r="A120" s="23" t="s">
        <v>204</v>
      </c>
      <c r="B120" s="24" t="n">
        <v>45752</v>
      </c>
      <c r="C120" s="23" t="n">
        <f aca="false">MONTH(B120)</f>
        <v>4</v>
      </c>
      <c r="D120" s="23" t="s">
        <v>23</v>
      </c>
      <c r="E120" s="23" t="s">
        <v>85</v>
      </c>
      <c r="F120" s="23" t="s">
        <v>88</v>
      </c>
      <c r="G120" s="23" t="str">
        <f aca="false">IFERROR(INDEX(Products!$B$2:$B$13,MATCH(F120,Products!$A$2:$A$13,0)),"Unknown")</f>
        <v>Accessories</v>
      </c>
      <c r="H120" s="23" t="n">
        <v>6</v>
      </c>
      <c r="I120" s="25" t="n">
        <f aca="false">IFERROR(INDEX(Products!$C$2:$C$13,MATCH(F120,Products!$A$2:$A$13,0)),0)</f>
        <v>85</v>
      </c>
      <c r="J120" s="25" t="n">
        <f aca="false">H120*I120</f>
        <v>510</v>
      </c>
      <c r="K120" s="25" t="n">
        <f aca="false">IFERROR(INDEX(Products!$D$2:$D$13,MATCH(F120,Products!$A$2:$A$13,0)),0)</f>
        <v>38</v>
      </c>
      <c r="L120" s="25" t="n">
        <f aca="false">H120*K120</f>
        <v>228</v>
      </c>
      <c r="M120" s="25" t="n">
        <f aca="false">J120-L120</f>
        <v>282</v>
      </c>
    </row>
    <row r="121" customFormat="false" ht="15" hidden="false" customHeight="false" outlineLevel="0" collapsed="false">
      <c r="A121" s="23" t="s">
        <v>205</v>
      </c>
      <c r="B121" s="24" t="n">
        <v>45752</v>
      </c>
      <c r="C121" s="23" t="n">
        <f aca="false">MONTH(B121)</f>
        <v>4</v>
      </c>
      <c r="D121" s="23" t="s">
        <v>21</v>
      </c>
      <c r="E121" s="23" t="s">
        <v>90</v>
      </c>
      <c r="F121" s="23" t="s">
        <v>68</v>
      </c>
      <c r="G121" s="23" t="str">
        <f aca="false">IFERROR(INDEX(Products!$B$2:$B$13,MATCH(F121,Products!$A$2:$A$13,0)),"Unknown")</f>
        <v>Laptops</v>
      </c>
      <c r="H121" s="23" t="n">
        <v>2</v>
      </c>
      <c r="I121" s="25" t="n">
        <f aca="false">IFERROR(INDEX(Products!$C$2:$C$13,MATCH(F121,Products!$A$2:$A$13,0)),0)</f>
        <v>780</v>
      </c>
      <c r="J121" s="25" t="n">
        <f aca="false">H121*I121</f>
        <v>1560</v>
      </c>
      <c r="K121" s="25" t="n">
        <f aca="false">IFERROR(INDEX(Products!$D$2:$D$13,MATCH(F121,Products!$A$2:$A$13,0)),0)</f>
        <v>590</v>
      </c>
      <c r="L121" s="25" t="n">
        <f aca="false">H121*K121</f>
        <v>1180</v>
      </c>
      <c r="M121" s="25" t="n">
        <f aca="false">J121-L121</f>
        <v>380</v>
      </c>
    </row>
    <row r="122" customFormat="false" ht="15" hidden="false" customHeight="false" outlineLevel="0" collapsed="false">
      <c r="A122" s="23" t="s">
        <v>206</v>
      </c>
      <c r="B122" s="24" t="n">
        <v>45754</v>
      </c>
      <c r="C122" s="23" t="n">
        <f aca="false">MONTH(B122)</f>
        <v>4</v>
      </c>
      <c r="D122" s="23" t="s">
        <v>21</v>
      </c>
      <c r="E122" s="23" t="s">
        <v>87</v>
      </c>
      <c r="F122" s="23" t="s">
        <v>71</v>
      </c>
      <c r="G122" s="23" t="str">
        <f aca="false">IFERROR(INDEX(Products!$B$2:$B$13,MATCH(F122,Products!$A$2:$A$13,0)),"Unknown")</f>
        <v>Accessories</v>
      </c>
      <c r="H122" s="23" t="n">
        <v>9</v>
      </c>
      <c r="I122" s="25" t="n">
        <f aca="false">IFERROR(INDEX(Products!$C$2:$C$13,MATCH(F122,Products!$A$2:$A$13,0)),0)</f>
        <v>45</v>
      </c>
      <c r="J122" s="25" t="n">
        <f aca="false">H122*I122</f>
        <v>405</v>
      </c>
      <c r="K122" s="25" t="n">
        <f aca="false">IFERROR(INDEX(Products!$D$2:$D$13,MATCH(F122,Products!$A$2:$A$13,0)),0)</f>
        <v>18</v>
      </c>
      <c r="L122" s="25" t="n">
        <f aca="false">H122*K122</f>
        <v>162</v>
      </c>
      <c r="M122" s="25" t="n">
        <f aca="false">J122-L122</f>
        <v>243</v>
      </c>
    </row>
    <row r="123" customFormat="false" ht="15" hidden="false" customHeight="false" outlineLevel="0" collapsed="false">
      <c r="A123" s="23" t="s">
        <v>207</v>
      </c>
      <c r="B123" s="24" t="n">
        <v>45755</v>
      </c>
      <c r="C123" s="23" t="n">
        <f aca="false">MONTH(B123)</f>
        <v>4</v>
      </c>
      <c r="D123" s="23" t="s">
        <v>19</v>
      </c>
      <c r="E123" s="23" t="s">
        <v>73</v>
      </c>
      <c r="F123" s="23" t="s">
        <v>71</v>
      </c>
      <c r="G123" s="23" t="str">
        <f aca="false">IFERROR(INDEX(Products!$B$2:$B$13,MATCH(F123,Products!$A$2:$A$13,0)),"Unknown")</f>
        <v>Accessories</v>
      </c>
      <c r="H123" s="23" t="n">
        <v>3</v>
      </c>
      <c r="I123" s="25" t="n">
        <f aca="false">IFERROR(INDEX(Products!$C$2:$C$13,MATCH(F123,Products!$A$2:$A$13,0)),0)</f>
        <v>45</v>
      </c>
      <c r="J123" s="25" t="n">
        <f aca="false">H123*I123</f>
        <v>135</v>
      </c>
      <c r="K123" s="25" t="n">
        <f aca="false">IFERROR(INDEX(Products!$D$2:$D$13,MATCH(F123,Products!$A$2:$A$13,0)),0)</f>
        <v>18</v>
      </c>
      <c r="L123" s="25" t="n">
        <f aca="false">H123*K123</f>
        <v>54</v>
      </c>
      <c r="M123" s="25" t="n">
        <f aca="false">J123-L123</f>
        <v>81</v>
      </c>
    </row>
    <row r="124" customFormat="false" ht="15" hidden="false" customHeight="false" outlineLevel="0" collapsed="false">
      <c r="A124" s="23" t="s">
        <v>208</v>
      </c>
      <c r="B124" s="24" t="n">
        <v>45755</v>
      </c>
      <c r="C124" s="23" t="n">
        <f aca="false">MONTH(B124)</f>
        <v>4</v>
      </c>
      <c r="D124" s="23" t="s">
        <v>23</v>
      </c>
      <c r="E124" s="23" t="s">
        <v>85</v>
      </c>
      <c r="F124" s="23" t="s">
        <v>96</v>
      </c>
      <c r="G124" s="23" t="str">
        <f aca="false">IFERROR(INDEX(Products!$B$2:$B$13,MATCH(F124,Products!$A$2:$A$13,0)),"Unknown")</f>
        <v>Tablets</v>
      </c>
      <c r="H124" s="23" t="n">
        <v>2</v>
      </c>
      <c r="I124" s="25" t="n">
        <f aca="false">IFERROR(INDEX(Products!$C$2:$C$13,MATCH(F124,Products!$A$2:$A$13,0)),0)</f>
        <v>260</v>
      </c>
      <c r="J124" s="25" t="n">
        <f aca="false">H124*I124</f>
        <v>520</v>
      </c>
      <c r="K124" s="25" t="n">
        <f aca="false">IFERROR(INDEX(Products!$D$2:$D$13,MATCH(F124,Products!$A$2:$A$13,0)),0)</f>
        <v>180</v>
      </c>
      <c r="L124" s="25" t="n">
        <f aca="false">H124*K124</f>
        <v>360</v>
      </c>
      <c r="M124" s="25" t="n">
        <f aca="false">J124-L124</f>
        <v>160</v>
      </c>
    </row>
    <row r="125" customFormat="false" ht="15" hidden="false" customHeight="false" outlineLevel="0" collapsed="false">
      <c r="A125" s="23" t="s">
        <v>209</v>
      </c>
      <c r="B125" s="24" t="n">
        <v>45755</v>
      </c>
      <c r="C125" s="23" t="n">
        <f aca="false">MONTH(B125)</f>
        <v>4</v>
      </c>
      <c r="D125" s="23" t="s">
        <v>21</v>
      </c>
      <c r="E125" s="23" t="s">
        <v>90</v>
      </c>
      <c r="F125" s="23" t="s">
        <v>94</v>
      </c>
      <c r="G125" s="23" t="str">
        <f aca="false">IFERROR(INDEX(Products!$B$2:$B$13,MATCH(F125,Products!$A$2:$A$13,0)),"Unknown")</f>
        <v>Laptops</v>
      </c>
      <c r="H125" s="23" t="n">
        <v>1</v>
      </c>
      <c r="I125" s="25" t="n">
        <f aca="false">IFERROR(INDEX(Products!$C$2:$C$13,MATCH(F125,Products!$A$2:$A$13,0)),0)</f>
        <v>1350</v>
      </c>
      <c r="J125" s="25" t="n">
        <f aca="false">H125*I125</f>
        <v>1350</v>
      </c>
      <c r="K125" s="25" t="n">
        <f aca="false">IFERROR(INDEX(Products!$D$2:$D$13,MATCH(F125,Products!$A$2:$A$13,0)),0)</f>
        <v>1040</v>
      </c>
      <c r="L125" s="25" t="n">
        <f aca="false">H125*K125</f>
        <v>1040</v>
      </c>
      <c r="M125" s="25" t="n">
        <f aca="false">J125-L125</f>
        <v>310</v>
      </c>
    </row>
    <row r="126" customFormat="false" ht="15" hidden="false" customHeight="false" outlineLevel="0" collapsed="false">
      <c r="A126" s="23" t="s">
        <v>210</v>
      </c>
      <c r="B126" s="24" t="n">
        <v>45755</v>
      </c>
      <c r="C126" s="23" t="n">
        <f aca="false">MONTH(B126)</f>
        <v>4</v>
      </c>
      <c r="D126" s="23" t="s">
        <v>19</v>
      </c>
      <c r="E126" s="23" t="s">
        <v>73</v>
      </c>
      <c r="F126" s="23" t="s">
        <v>88</v>
      </c>
      <c r="G126" s="23" t="str">
        <f aca="false">IFERROR(INDEX(Products!$B$2:$B$13,MATCH(F126,Products!$A$2:$A$13,0)),"Unknown")</f>
        <v>Accessories</v>
      </c>
      <c r="H126" s="23" t="n">
        <v>3</v>
      </c>
      <c r="I126" s="25" t="n">
        <f aca="false">IFERROR(INDEX(Products!$C$2:$C$13,MATCH(F126,Products!$A$2:$A$13,0)),0)</f>
        <v>85</v>
      </c>
      <c r="J126" s="25" t="n">
        <f aca="false">H126*I126</f>
        <v>255</v>
      </c>
      <c r="K126" s="25" t="n">
        <f aca="false">IFERROR(INDEX(Products!$D$2:$D$13,MATCH(F126,Products!$A$2:$A$13,0)),0)</f>
        <v>38</v>
      </c>
      <c r="L126" s="25" t="n">
        <f aca="false">H126*K126</f>
        <v>114</v>
      </c>
      <c r="M126" s="25" t="n">
        <f aca="false">J126-L126</f>
        <v>141</v>
      </c>
    </row>
    <row r="127" customFormat="false" ht="15" hidden="false" customHeight="false" outlineLevel="0" collapsed="false">
      <c r="A127" s="23" t="s">
        <v>211</v>
      </c>
      <c r="B127" s="24" t="n">
        <v>45756</v>
      </c>
      <c r="C127" s="23" t="n">
        <f aca="false">MONTH(B127)</f>
        <v>4</v>
      </c>
      <c r="D127" s="23" t="s">
        <v>17</v>
      </c>
      <c r="E127" s="23" t="s">
        <v>67</v>
      </c>
      <c r="F127" s="23" t="s">
        <v>98</v>
      </c>
      <c r="G127" s="23" t="str">
        <f aca="false">IFERROR(INDEX(Products!$B$2:$B$13,MATCH(F127,Products!$A$2:$A$13,0)),"Unknown")</f>
        <v>Monitors</v>
      </c>
      <c r="H127" s="23" t="n">
        <v>2</v>
      </c>
      <c r="I127" s="25" t="n">
        <f aca="false">IFERROR(INDEX(Products!$C$2:$C$13,MATCH(F127,Products!$A$2:$A$13,0)),0)</f>
        <v>480</v>
      </c>
      <c r="J127" s="25" t="n">
        <f aca="false">H127*I127</f>
        <v>960</v>
      </c>
      <c r="K127" s="25" t="n">
        <f aca="false">IFERROR(INDEX(Products!$D$2:$D$13,MATCH(F127,Products!$A$2:$A$13,0)),0)</f>
        <v>350</v>
      </c>
      <c r="L127" s="25" t="n">
        <f aca="false">H127*K127</f>
        <v>700</v>
      </c>
      <c r="M127" s="25" t="n">
        <f aca="false">J127-L127</f>
        <v>260</v>
      </c>
    </row>
    <row r="128" customFormat="false" ht="15" hidden="false" customHeight="false" outlineLevel="0" collapsed="false">
      <c r="A128" s="23" t="s">
        <v>212</v>
      </c>
      <c r="B128" s="24" t="n">
        <v>45756</v>
      </c>
      <c r="C128" s="23" t="n">
        <f aca="false">MONTH(B128)</f>
        <v>4</v>
      </c>
      <c r="D128" s="23" t="s">
        <v>23</v>
      </c>
      <c r="E128" s="23" t="s">
        <v>85</v>
      </c>
      <c r="F128" s="23" t="s">
        <v>68</v>
      </c>
      <c r="G128" s="23" t="str">
        <f aca="false">IFERROR(INDEX(Products!$B$2:$B$13,MATCH(F128,Products!$A$2:$A$13,0)),"Unknown")</f>
        <v>Laptops</v>
      </c>
      <c r="H128" s="23" t="n">
        <v>1</v>
      </c>
      <c r="I128" s="25" t="n">
        <f aca="false">IFERROR(INDEX(Products!$C$2:$C$13,MATCH(F128,Products!$A$2:$A$13,0)),0)</f>
        <v>780</v>
      </c>
      <c r="J128" s="25" t="n">
        <f aca="false">H128*I128</f>
        <v>780</v>
      </c>
      <c r="K128" s="25" t="n">
        <f aca="false">IFERROR(INDEX(Products!$D$2:$D$13,MATCH(F128,Products!$A$2:$A$13,0)),0)</f>
        <v>590</v>
      </c>
      <c r="L128" s="25" t="n">
        <f aca="false">H128*K128</f>
        <v>590</v>
      </c>
      <c r="M128" s="25" t="n">
        <f aca="false">J128-L128</f>
        <v>190</v>
      </c>
    </row>
    <row r="129" customFormat="false" ht="15" hidden="false" customHeight="false" outlineLevel="0" collapsed="false">
      <c r="A129" s="23" t="s">
        <v>213</v>
      </c>
      <c r="B129" s="24" t="n">
        <v>45757</v>
      </c>
      <c r="C129" s="23" t="n">
        <f aca="false">MONTH(B129)</f>
        <v>4</v>
      </c>
      <c r="D129" s="23" t="s">
        <v>23</v>
      </c>
      <c r="E129" s="23" t="s">
        <v>77</v>
      </c>
      <c r="F129" s="23" t="s">
        <v>104</v>
      </c>
      <c r="G129" s="23" t="str">
        <f aca="false">IFERROR(INDEX(Products!$B$2:$B$13,MATCH(F129,Products!$A$2:$A$13,0)),"Unknown")</f>
        <v>Phones</v>
      </c>
      <c r="H129" s="23" t="n">
        <v>2</v>
      </c>
      <c r="I129" s="25" t="n">
        <f aca="false">IFERROR(INDEX(Products!$C$2:$C$13,MATCH(F129,Products!$A$2:$A$13,0)),0)</f>
        <v>290</v>
      </c>
      <c r="J129" s="25" t="n">
        <f aca="false">H129*I129</f>
        <v>580</v>
      </c>
      <c r="K129" s="25" t="n">
        <f aca="false">IFERROR(INDEX(Products!$D$2:$D$13,MATCH(F129,Products!$A$2:$A$13,0)),0)</f>
        <v>205</v>
      </c>
      <c r="L129" s="25" t="n">
        <f aca="false">H129*K129</f>
        <v>410</v>
      </c>
      <c r="M129" s="25" t="n">
        <f aca="false">J129-L129</f>
        <v>170</v>
      </c>
    </row>
    <row r="130" customFormat="false" ht="15" hidden="false" customHeight="false" outlineLevel="0" collapsed="false">
      <c r="A130" s="23" t="s">
        <v>214</v>
      </c>
      <c r="B130" s="24" t="n">
        <v>45757</v>
      </c>
      <c r="C130" s="23" t="n">
        <f aca="false">MONTH(B130)</f>
        <v>4</v>
      </c>
      <c r="D130" s="23" t="s">
        <v>19</v>
      </c>
      <c r="E130" s="23" t="s">
        <v>70</v>
      </c>
      <c r="F130" s="23" t="s">
        <v>91</v>
      </c>
      <c r="G130" s="23" t="str">
        <f aca="false">IFERROR(INDEX(Products!$B$2:$B$13,MATCH(F130,Products!$A$2:$A$13,0)),"Unknown")</f>
        <v>Tablets</v>
      </c>
      <c r="H130" s="23" t="n">
        <v>2</v>
      </c>
      <c r="I130" s="25" t="n">
        <f aca="false">IFERROR(INDEX(Products!$C$2:$C$13,MATCH(F130,Products!$A$2:$A$13,0)),0)</f>
        <v>420</v>
      </c>
      <c r="J130" s="25" t="n">
        <f aca="false">H130*I130</f>
        <v>840</v>
      </c>
      <c r="K130" s="25" t="n">
        <f aca="false">IFERROR(INDEX(Products!$D$2:$D$13,MATCH(F130,Products!$A$2:$A$13,0)),0)</f>
        <v>300</v>
      </c>
      <c r="L130" s="25" t="n">
        <f aca="false">H130*K130</f>
        <v>600</v>
      </c>
      <c r="M130" s="25" t="n">
        <f aca="false">J130-L130</f>
        <v>240</v>
      </c>
    </row>
    <row r="131" customFormat="false" ht="15" hidden="false" customHeight="false" outlineLevel="0" collapsed="false">
      <c r="A131" s="23" t="s">
        <v>215</v>
      </c>
      <c r="B131" s="24" t="n">
        <v>45757</v>
      </c>
      <c r="C131" s="23" t="n">
        <f aca="false">MONTH(B131)</f>
        <v>4</v>
      </c>
      <c r="D131" s="23" t="s">
        <v>21</v>
      </c>
      <c r="E131" s="23" t="s">
        <v>87</v>
      </c>
      <c r="F131" s="23" t="s">
        <v>83</v>
      </c>
      <c r="G131" s="23" t="str">
        <f aca="false">IFERROR(INDEX(Products!$B$2:$B$13,MATCH(F131,Products!$A$2:$A$13,0)),"Unknown")</f>
        <v>Phones</v>
      </c>
      <c r="H131" s="23" t="n">
        <v>2</v>
      </c>
      <c r="I131" s="25" t="n">
        <f aca="false">IFERROR(INDEX(Products!$C$2:$C$13,MATCH(F131,Products!$A$2:$A$13,0)),0)</f>
        <v>640</v>
      </c>
      <c r="J131" s="25" t="n">
        <f aca="false">H131*I131</f>
        <v>1280</v>
      </c>
      <c r="K131" s="25" t="n">
        <f aca="false">IFERROR(INDEX(Products!$D$2:$D$13,MATCH(F131,Products!$A$2:$A$13,0)),0)</f>
        <v>470</v>
      </c>
      <c r="L131" s="25" t="n">
        <f aca="false">H131*K131</f>
        <v>940</v>
      </c>
      <c r="M131" s="25" t="n">
        <f aca="false">J131-L131</f>
        <v>340</v>
      </c>
    </row>
    <row r="132" customFormat="false" ht="15" hidden="false" customHeight="false" outlineLevel="0" collapsed="false">
      <c r="A132" s="23" t="s">
        <v>216</v>
      </c>
      <c r="B132" s="24" t="n">
        <v>45758</v>
      </c>
      <c r="C132" s="23" t="n">
        <f aca="false">MONTH(B132)</f>
        <v>4</v>
      </c>
      <c r="D132" s="23" t="s">
        <v>21</v>
      </c>
      <c r="E132" s="23" t="s">
        <v>87</v>
      </c>
      <c r="F132" s="23" t="s">
        <v>79</v>
      </c>
      <c r="G132" s="23" t="str">
        <f aca="false">IFERROR(INDEX(Products!$B$2:$B$13,MATCH(F132,Products!$A$2:$A$13,0)),"Unknown")</f>
        <v>Accessories</v>
      </c>
      <c r="H132" s="23" t="n">
        <v>12</v>
      </c>
      <c r="I132" s="25" t="n">
        <f aca="false">IFERROR(INDEX(Products!$C$2:$C$13,MATCH(F132,Products!$A$2:$A$13,0)),0)</f>
        <v>190</v>
      </c>
      <c r="J132" s="25" t="n">
        <f aca="false">H132*I132</f>
        <v>2280</v>
      </c>
      <c r="K132" s="25" t="n">
        <f aca="false">IFERROR(INDEX(Products!$D$2:$D$13,MATCH(F132,Products!$A$2:$A$13,0)),0)</f>
        <v>115</v>
      </c>
      <c r="L132" s="25" t="n">
        <f aca="false">H132*K132</f>
        <v>1380</v>
      </c>
      <c r="M132" s="25" t="n">
        <f aca="false">J132-L132</f>
        <v>900</v>
      </c>
    </row>
    <row r="133" customFormat="false" ht="15" hidden="false" customHeight="false" outlineLevel="0" collapsed="false">
      <c r="A133" s="23" t="s">
        <v>217</v>
      </c>
      <c r="B133" s="24" t="n">
        <v>45761</v>
      </c>
      <c r="C133" s="23" t="n">
        <f aca="false">MONTH(B133)</f>
        <v>4</v>
      </c>
      <c r="D133" s="23" t="s">
        <v>19</v>
      </c>
      <c r="E133" s="23" t="s">
        <v>70</v>
      </c>
      <c r="F133" s="23" t="s">
        <v>79</v>
      </c>
      <c r="G133" s="23" t="str">
        <f aca="false">IFERROR(INDEX(Products!$B$2:$B$13,MATCH(F133,Products!$A$2:$A$13,0)),"Unknown")</f>
        <v>Accessories</v>
      </c>
      <c r="H133" s="23" t="n">
        <v>6</v>
      </c>
      <c r="I133" s="25" t="n">
        <f aca="false">IFERROR(INDEX(Products!$C$2:$C$13,MATCH(F133,Products!$A$2:$A$13,0)),0)</f>
        <v>190</v>
      </c>
      <c r="J133" s="25" t="n">
        <f aca="false">H133*I133</f>
        <v>1140</v>
      </c>
      <c r="K133" s="25" t="n">
        <f aca="false">IFERROR(INDEX(Products!$D$2:$D$13,MATCH(F133,Products!$A$2:$A$13,0)),0)</f>
        <v>115</v>
      </c>
      <c r="L133" s="25" t="n">
        <f aca="false">H133*K133</f>
        <v>690</v>
      </c>
      <c r="M133" s="25" t="n">
        <f aca="false">J133-L133</f>
        <v>450</v>
      </c>
    </row>
    <row r="134" customFormat="false" ht="15" hidden="false" customHeight="false" outlineLevel="0" collapsed="false">
      <c r="A134" s="23" t="s">
        <v>218</v>
      </c>
      <c r="B134" s="24" t="n">
        <v>45761</v>
      </c>
      <c r="C134" s="23" t="n">
        <f aca="false">MONTH(B134)</f>
        <v>4</v>
      </c>
      <c r="D134" s="23" t="s">
        <v>23</v>
      </c>
      <c r="E134" s="23" t="s">
        <v>85</v>
      </c>
      <c r="F134" s="23" t="s">
        <v>88</v>
      </c>
      <c r="G134" s="23" t="str">
        <f aca="false">IFERROR(INDEX(Products!$B$2:$B$13,MATCH(F134,Products!$A$2:$A$13,0)),"Unknown")</f>
        <v>Accessories</v>
      </c>
      <c r="H134" s="23" t="n">
        <v>15</v>
      </c>
      <c r="I134" s="25" t="n">
        <f aca="false">IFERROR(INDEX(Products!$C$2:$C$13,MATCH(F134,Products!$A$2:$A$13,0)),0)</f>
        <v>85</v>
      </c>
      <c r="J134" s="25" t="n">
        <f aca="false">H134*I134</f>
        <v>1275</v>
      </c>
      <c r="K134" s="25" t="n">
        <f aca="false">IFERROR(INDEX(Products!$D$2:$D$13,MATCH(F134,Products!$A$2:$A$13,0)),0)</f>
        <v>38</v>
      </c>
      <c r="L134" s="25" t="n">
        <f aca="false">H134*K134</f>
        <v>570</v>
      </c>
      <c r="M134" s="25" t="n">
        <f aca="false">J134-L134</f>
        <v>705</v>
      </c>
    </row>
    <row r="135" customFormat="false" ht="15" hidden="false" customHeight="false" outlineLevel="0" collapsed="false">
      <c r="A135" s="23" t="s">
        <v>219</v>
      </c>
      <c r="B135" s="24" t="n">
        <v>45762</v>
      </c>
      <c r="C135" s="23" t="n">
        <f aca="false">MONTH(B135)</f>
        <v>4</v>
      </c>
      <c r="D135" s="23" t="s">
        <v>23</v>
      </c>
      <c r="E135" s="23" t="s">
        <v>85</v>
      </c>
      <c r="F135" s="23" t="s">
        <v>71</v>
      </c>
      <c r="G135" s="23" t="str">
        <f aca="false">IFERROR(INDEX(Products!$B$2:$B$13,MATCH(F135,Products!$A$2:$A$13,0)),"Unknown")</f>
        <v>Accessories</v>
      </c>
      <c r="H135" s="23" t="n">
        <v>6</v>
      </c>
      <c r="I135" s="25" t="n">
        <f aca="false">IFERROR(INDEX(Products!$C$2:$C$13,MATCH(F135,Products!$A$2:$A$13,0)),0)</f>
        <v>45</v>
      </c>
      <c r="J135" s="25" t="n">
        <f aca="false">H135*I135</f>
        <v>270</v>
      </c>
      <c r="K135" s="25" t="n">
        <f aca="false">IFERROR(INDEX(Products!$D$2:$D$13,MATCH(F135,Products!$A$2:$A$13,0)),0)</f>
        <v>18</v>
      </c>
      <c r="L135" s="25" t="n">
        <f aca="false">H135*K135</f>
        <v>108</v>
      </c>
      <c r="M135" s="25" t="n">
        <f aca="false">J135-L135</f>
        <v>162</v>
      </c>
    </row>
    <row r="136" customFormat="false" ht="15" hidden="false" customHeight="false" outlineLevel="0" collapsed="false">
      <c r="A136" s="23" t="s">
        <v>220</v>
      </c>
      <c r="B136" s="24" t="n">
        <v>45762</v>
      </c>
      <c r="C136" s="23" t="n">
        <f aca="false">MONTH(B136)</f>
        <v>4</v>
      </c>
      <c r="D136" s="23" t="s">
        <v>19</v>
      </c>
      <c r="E136" s="23" t="s">
        <v>70</v>
      </c>
      <c r="F136" s="23" t="s">
        <v>79</v>
      </c>
      <c r="G136" s="23" t="str">
        <f aca="false">IFERROR(INDEX(Products!$B$2:$B$13,MATCH(F136,Products!$A$2:$A$13,0)),"Unknown")</f>
        <v>Accessories</v>
      </c>
      <c r="H136" s="23" t="n">
        <v>12</v>
      </c>
      <c r="I136" s="25" t="n">
        <f aca="false">IFERROR(INDEX(Products!$C$2:$C$13,MATCH(F136,Products!$A$2:$A$13,0)),0)</f>
        <v>190</v>
      </c>
      <c r="J136" s="25" t="n">
        <f aca="false">H136*I136</f>
        <v>2280</v>
      </c>
      <c r="K136" s="25" t="n">
        <f aca="false">IFERROR(INDEX(Products!$D$2:$D$13,MATCH(F136,Products!$A$2:$A$13,0)),0)</f>
        <v>115</v>
      </c>
      <c r="L136" s="25" t="n">
        <f aca="false">H136*K136</f>
        <v>1380</v>
      </c>
      <c r="M136" s="25" t="n">
        <f aca="false">J136-L136</f>
        <v>900</v>
      </c>
    </row>
    <row r="137" customFormat="false" ht="15" hidden="false" customHeight="false" outlineLevel="0" collapsed="false">
      <c r="A137" s="23" t="s">
        <v>221</v>
      </c>
      <c r="B137" s="24" t="n">
        <v>45762</v>
      </c>
      <c r="C137" s="23" t="n">
        <f aca="false">MONTH(B137)</f>
        <v>4</v>
      </c>
      <c r="D137" s="23" t="s">
        <v>23</v>
      </c>
      <c r="E137" s="23" t="s">
        <v>85</v>
      </c>
      <c r="F137" s="23" t="s">
        <v>104</v>
      </c>
      <c r="G137" s="23" t="str">
        <f aca="false">IFERROR(INDEX(Products!$B$2:$B$13,MATCH(F137,Products!$A$2:$A$13,0)),"Unknown")</f>
        <v>Phones</v>
      </c>
      <c r="H137" s="23" t="n">
        <v>4</v>
      </c>
      <c r="I137" s="25" t="n">
        <f aca="false">IFERROR(INDEX(Products!$C$2:$C$13,MATCH(F137,Products!$A$2:$A$13,0)),0)</f>
        <v>290</v>
      </c>
      <c r="J137" s="25" t="n">
        <f aca="false">H137*I137</f>
        <v>1160</v>
      </c>
      <c r="K137" s="25" t="n">
        <f aca="false">IFERROR(INDEX(Products!$D$2:$D$13,MATCH(F137,Products!$A$2:$A$13,0)),0)</f>
        <v>205</v>
      </c>
      <c r="L137" s="25" t="n">
        <f aca="false">H137*K137</f>
        <v>820</v>
      </c>
      <c r="M137" s="25" t="n">
        <f aca="false">J137-L137</f>
        <v>340</v>
      </c>
    </row>
    <row r="138" customFormat="false" ht="15" hidden="false" customHeight="false" outlineLevel="0" collapsed="false">
      <c r="A138" s="23" t="s">
        <v>222</v>
      </c>
      <c r="B138" s="24" t="n">
        <v>45763</v>
      </c>
      <c r="C138" s="23" t="n">
        <f aca="false">MONTH(B138)</f>
        <v>4</v>
      </c>
      <c r="D138" s="23" t="s">
        <v>23</v>
      </c>
      <c r="E138" s="23" t="s">
        <v>77</v>
      </c>
      <c r="F138" s="23" t="s">
        <v>91</v>
      </c>
      <c r="G138" s="23" t="str">
        <f aca="false">IFERROR(INDEX(Products!$B$2:$B$13,MATCH(F138,Products!$A$2:$A$13,0)),"Unknown")</f>
        <v>Tablets</v>
      </c>
      <c r="H138" s="23" t="n">
        <v>1</v>
      </c>
      <c r="I138" s="25" t="n">
        <f aca="false">IFERROR(INDEX(Products!$C$2:$C$13,MATCH(F138,Products!$A$2:$A$13,0)),0)</f>
        <v>420</v>
      </c>
      <c r="J138" s="25" t="n">
        <f aca="false">H138*I138</f>
        <v>420</v>
      </c>
      <c r="K138" s="25" t="n">
        <f aca="false">IFERROR(INDEX(Products!$D$2:$D$13,MATCH(F138,Products!$A$2:$A$13,0)),0)</f>
        <v>300</v>
      </c>
      <c r="L138" s="25" t="n">
        <f aca="false">H138*K138</f>
        <v>300</v>
      </c>
      <c r="M138" s="25" t="n">
        <f aca="false">J138-L138</f>
        <v>120</v>
      </c>
    </row>
    <row r="139" customFormat="false" ht="15" hidden="false" customHeight="false" outlineLevel="0" collapsed="false">
      <c r="A139" s="23" t="s">
        <v>223</v>
      </c>
      <c r="B139" s="24" t="n">
        <v>45763</v>
      </c>
      <c r="C139" s="23" t="n">
        <f aca="false">MONTH(B139)</f>
        <v>4</v>
      </c>
      <c r="D139" s="23" t="s">
        <v>17</v>
      </c>
      <c r="E139" s="23" t="s">
        <v>67</v>
      </c>
      <c r="F139" s="23" t="s">
        <v>88</v>
      </c>
      <c r="G139" s="23" t="str">
        <f aca="false">IFERROR(INDEX(Products!$B$2:$B$13,MATCH(F139,Products!$A$2:$A$13,0)),"Unknown")</f>
        <v>Accessories</v>
      </c>
      <c r="H139" s="23" t="n">
        <v>3</v>
      </c>
      <c r="I139" s="25" t="n">
        <f aca="false">IFERROR(INDEX(Products!$C$2:$C$13,MATCH(F139,Products!$A$2:$A$13,0)),0)</f>
        <v>85</v>
      </c>
      <c r="J139" s="25" t="n">
        <f aca="false">H139*I139</f>
        <v>255</v>
      </c>
      <c r="K139" s="25" t="n">
        <f aca="false">IFERROR(INDEX(Products!$D$2:$D$13,MATCH(F139,Products!$A$2:$A$13,0)),0)</f>
        <v>38</v>
      </c>
      <c r="L139" s="25" t="n">
        <f aca="false">H139*K139</f>
        <v>114</v>
      </c>
      <c r="M139" s="25" t="n">
        <f aca="false">J139-L139</f>
        <v>141</v>
      </c>
    </row>
    <row r="140" customFormat="false" ht="15" hidden="false" customHeight="false" outlineLevel="0" collapsed="false">
      <c r="A140" s="23" t="s">
        <v>224</v>
      </c>
      <c r="B140" s="24" t="n">
        <v>45765</v>
      </c>
      <c r="C140" s="23" t="n">
        <f aca="false">MONTH(B140)</f>
        <v>4</v>
      </c>
      <c r="D140" s="23" t="s">
        <v>23</v>
      </c>
      <c r="E140" s="23" t="s">
        <v>85</v>
      </c>
      <c r="F140" s="23" t="s">
        <v>88</v>
      </c>
      <c r="G140" s="23" t="str">
        <f aca="false">IFERROR(INDEX(Products!$B$2:$B$13,MATCH(F140,Products!$A$2:$A$13,0)),"Unknown")</f>
        <v>Accessories</v>
      </c>
      <c r="H140" s="23" t="n">
        <v>6</v>
      </c>
      <c r="I140" s="25" t="n">
        <f aca="false">IFERROR(INDEX(Products!$C$2:$C$13,MATCH(F140,Products!$A$2:$A$13,0)),0)</f>
        <v>85</v>
      </c>
      <c r="J140" s="25" t="n">
        <f aca="false">H140*I140</f>
        <v>510</v>
      </c>
      <c r="K140" s="25" t="n">
        <f aca="false">IFERROR(INDEX(Products!$D$2:$D$13,MATCH(F140,Products!$A$2:$A$13,0)),0)</f>
        <v>38</v>
      </c>
      <c r="L140" s="25" t="n">
        <f aca="false">H140*K140</f>
        <v>228</v>
      </c>
      <c r="M140" s="25" t="n">
        <f aca="false">J140-L140</f>
        <v>282</v>
      </c>
    </row>
    <row r="141" customFormat="false" ht="15" hidden="false" customHeight="false" outlineLevel="0" collapsed="false">
      <c r="A141" s="23" t="s">
        <v>225</v>
      </c>
      <c r="B141" s="24" t="n">
        <v>45766</v>
      </c>
      <c r="C141" s="23" t="n">
        <f aca="false">MONTH(B141)</f>
        <v>4</v>
      </c>
      <c r="D141" s="23" t="s">
        <v>19</v>
      </c>
      <c r="E141" s="23" t="s">
        <v>73</v>
      </c>
      <c r="F141" s="23" t="s">
        <v>68</v>
      </c>
      <c r="G141" s="23" t="str">
        <f aca="false">IFERROR(INDEX(Products!$B$2:$B$13,MATCH(F141,Products!$A$2:$A$13,0)),"Unknown")</f>
        <v>Laptops</v>
      </c>
      <c r="H141" s="23" t="n">
        <v>2</v>
      </c>
      <c r="I141" s="25" t="n">
        <f aca="false">IFERROR(INDEX(Products!$C$2:$C$13,MATCH(F141,Products!$A$2:$A$13,0)),0)</f>
        <v>780</v>
      </c>
      <c r="J141" s="25" t="n">
        <f aca="false">H141*I141</f>
        <v>1560</v>
      </c>
      <c r="K141" s="25" t="n">
        <f aca="false">IFERROR(INDEX(Products!$D$2:$D$13,MATCH(F141,Products!$A$2:$A$13,0)),0)</f>
        <v>590</v>
      </c>
      <c r="L141" s="25" t="n">
        <f aca="false">H141*K141</f>
        <v>1180</v>
      </c>
      <c r="M141" s="25" t="n">
        <f aca="false">J141-L141</f>
        <v>380</v>
      </c>
    </row>
    <row r="142" customFormat="false" ht="15" hidden="false" customHeight="false" outlineLevel="0" collapsed="false">
      <c r="A142" s="23" t="s">
        <v>226</v>
      </c>
      <c r="B142" s="24" t="n">
        <v>45766</v>
      </c>
      <c r="C142" s="23" t="n">
        <f aca="false">MONTH(B142)</f>
        <v>4</v>
      </c>
      <c r="D142" s="23" t="s">
        <v>17</v>
      </c>
      <c r="E142" s="23" t="s">
        <v>67</v>
      </c>
      <c r="F142" s="23" t="s">
        <v>88</v>
      </c>
      <c r="G142" s="23" t="str">
        <f aca="false">IFERROR(INDEX(Products!$B$2:$B$13,MATCH(F142,Products!$A$2:$A$13,0)),"Unknown")</f>
        <v>Accessories</v>
      </c>
      <c r="H142" s="23" t="n">
        <v>3</v>
      </c>
      <c r="I142" s="25" t="n">
        <f aca="false">IFERROR(INDEX(Products!$C$2:$C$13,MATCH(F142,Products!$A$2:$A$13,0)),0)</f>
        <v>85</v>
      </c>
      <c r="J142" s="25" t="n">
        <f aca="false">H142*I142</f>
        <v>255</v>
      </c>
      <c r="K142" s="25" t="n">
        <f aca="false">IFERROR(INDEX(Products!$D$2:$D$13,MATCH(F142,Products!$A$2:$A$13,0)),0)</f>
        <v>38</v>
      </c>
      <c r="L142" s="25" t="n">
        <f aca="false">H142*K142</f>
        <v>114</v>
      </c>
      <c r="M142" s="25" t="n">
        <f aca="false">J142-L142</f>
        <v>141</v>
      </c>
    </row>
    <row r="143" customFormat="false" ht="15" hidden="false" customHeight="false" outlineLevel="0" collapsed="false">
      <c r="A143" s="23" t="s">
        <v>227</v>
      </c>
      <c r="B143" s="24" t="n">
        <v>45767</v>
      </c>
      <c r="C143" s="23" t="n">
        <f aca="false">MONTH(B143)</f>
        <v>4</v>
      </c>
      <c r="D143" s="23" t="s">
        <v>21</v>
      </c>
      <c r="E143" s="23" t="s">
        <v>90</v>
      </c>
      <c r="F143" s="23" t="s">
        <v>88</v>
      </c>
      <c r="G143" s="23" t="str">
        <f aca="false">IFERROR(INDEX(Products!$B$2:$B$13,MATCH(F143,Products!$A$2:$A$13,0)),"Unknown")</f>
        <v>Accessories</v>
      </c>
      <c r="H143" s="23" t="n">
        <v>6</v>
      </c>
      <c r="I143" s="25" t="n">
        <f aca="false">IFERROR(INDEX(Products!$C$2:$C$13,MATCH(F143,Products!$A$2:$A$13,0)),0)</f>
        <v>85</v>
      </c>
      <c r="J143" s="25" t="n">
        <f aca="false">H143*I143</f>
        <v>510</v>
      </c>
      <c r="K143" s="25" t="n">
        <f aca="false">IFERROR(INDEX(Products!$D$2:$D$13,MATCH(F143,Products!$A$2:$A$13,0)),0)</f>
        <v>38</v>
      </c>
      <c r="L143" s="25" t="n">
        <f aca="false">H143*K143</f>
        <v>228</v>
      </c>
      <c r="M143" s="25" t="n">
        <f aca="false">J143-L143</f>
        <v>282</v>
      </c>
    </row>
    <row r="144" customFormat="false" ht="15" hidden="false" customHeight="false" outlineLevel="0" collapsed="false">
      <c r="A144" s="23" t="s">
        <v>228</v>
      </c>
      <c r="B144" s="24" t="n">
        <v>45768</v>
      </c>
      <c r="C144" s="23" t="n">
        <f aca="false">MONTH(B144)</f>
        <v>4</v>
      </c>
      <c r="D144" s="23" t="s">
        <v>17</v>
      </c>
      <c r="E144" s="23" t="s">
        <v>67</v>
      </c>
      <c r="F144" s="23" t="s">
        <v>71</v>
      </c>
      <c r="G144" s="23" t="str">
        <f aca="false">IFERROR(INDEX(Products!$B$2:$B$13,MATCH(F144,Products!$A$2:$A$13,0)),"Unknown")</f>
        <v>Accessories</v>
      </c>
      <c r="H144" s="23" t="n">
        <v>3</v>
      </c>
      <c r="I144" s="25" t="n">
        <f aca="false">IFERROR(INDEX(Products!$C$2:$C$13,MATCH(F144,Products!$A$2:$A$13,0)),0)</f>
        <v>45</v>
      </c>
      <c r="J144" s="25" t="n">
        <f aca="false">H144*I144</f>
        <v>135</v>
      </c>
      <c r="K144" s="25" t="n">
        <f aca="false">IFERROR(INDEX(Products!$D$2:$D$13,MATCH(F144,Products!$A$2:$A$13,0)),0)</f>
        <v>18</v>
      </c>
      <c r="L144" s="25" t="n">
        <f aca="false">H144*K144</f>
        <v>54</v>
      </c>
      <c r="M144" s="25" t="n">
        <f aca="false">J144-L144</f>
        <v>81</v>
      </c>
    </row>
    <row r="145" customFormat="false" ht="15" hidden="false" customHeight="false" outlineLevel="0" collapsed="false">
      <c r="A145" s="23" t="s">
        <v>229</v>
      </c>
      <c r="B145" s="24" t="n">
        <v>45768</v>
      </c>
      <c r="C145" s="23" t="n">
        <f aca="false">MONTH(B145)</f>
        <v>4</v>
      </c>
      <c r="D145" s="23" t="s">
        <v>23</v>
      </c>
      <c r="E145" s="23" t="s">
        <v>77</v>
      </c>
      <c r="F145" s="23" t="s">
        <v>91</v>
      </c>
      <c r="G145" s="23" t="str">
        <f aca="false">IFERROR(INDEX(Products!$B$2:$B$13,MATCH(F145,Products!$A$2:$A$13,0)),"Unknown")</f>
        <v>Tablets</v>
      </c>
      <c r="H145" s="23" t="n">
        <v>1</v>
      </c>
      <c r="I145" s="25" t="n">
        <f aca="false">IFERROR(INDEX(Products!$C$2:$C$13,MATCH(F145,Products!$A$2:$A$13,0)),0)</f>
        <v>420</v>
      </c>
      <c r="J145" s="25" t="n">
        <f aca="false">H145*I145</f>
        <v>420</v>
      </c>
      <c r="K145" s="25" t="n">
        <f aca="false">IFERROR(INDEX(Products!$D$2:$D$13,MATCH(F145,Products!$A$2:$A$13,0)),0)</f>
        <v>300</v>
      </c>
      <c r="L145" s="25" t="n">
        <f aca="false">H145*K145</f>
        <v>300</v>
      </c>
      <c r="M145" s="25" t="n">
        <f aca="false">J145-L145</f>
        <v>120</v>
      </c>
    </row>
    <row r="146" customFormat="false" ht="15" hidden="false" customHeight="false" outlineLevel="0" collapsed="false">
      <c r="A146" s="23" t="s">
        <v>230</v>
      </c>
      <c r="B146" s="24" t="n">
        <v>45768</v>
      </c>
      <c r="C146" s="23" t="n">
        <f aca="false">MONTH(B146)</f>
        <v>4</v>
      </c>
      <c r="D146" s="23" t="s">
        <v>23</v>
      </c>
      <c r="E146" s="23" t="s">
        <v>85</v>
      </c>
      <c r="F146" s="23" t="s">
        <v>68</v>
      </c>
      <c r="G146" s="23" t="str">
        <f aca="false">IFERROR(INDEX(Products!$B$2:$B$13,MATCH(F146,Products!$A$2:$A$13,0)),"Unknown")</f>
        <v>Laptops</v>
      </c>
      <c r="H146" s="23" t="n">
        <v>1</v>
      </c>
      <c r="I146" s="25" t="n">
        <f aca="false">IFERROR(INDEX(Products!$C$2:$C$13,MATCH(F146,Products!$A$2:$A$13,0)),0)</f>
        <v>780</v>
      </c>
      <c r="J146" s="25" t="n">
        <f aca="false">H146*I146</f>
        <v>780</v>
      </c>
      <c r="K146" s="25" t="n">
        <f aca="false">IFERROR(INDEX(Products!$D$2:$D$13,MATCH(F146,Products!$A$2:$A$13,0)),0)</f>
        <v>590</v>
      </c>
      <c r="L146" s="25" t="n">
        <f aca="false">H146*K146</f>
        <v>590</v>
      </c>
      <c r="M146" s="25" t="n">
        <f aca="false">J146-L146</f>
        <v>190</v>
      </c>
    </row>
    <row r="147" customFormat="false" ht="15" hidden="false" customHeight="false" outlineLevel="0" collapsed="false">
      <c r="A147" s="23" t="s">
        <v>231</v>
      </c>
      <c r="B147" s="24" t="n">
        <v>45768</v>
      </c>
      <c r="C147" s="23" t="n">
        <f aca="false">MONTH(B147)</f>
        <v>4</v>
      </c>
      <c r="D147" s="23" t="s">
        <v>19</v>
      </c>
      <c r="E147" s="23" t="s">
        <v>73</v>
      </c>
      <c r="F147" s="23" t="s">
        <v>83</v>
      </c>
      <c r="G147" s="23" t="str">
        <f aca="false">IFERROR(INDEX(Products!$B$2:$B$13,MATCH(F147,Products!$A$2:$A$13,0)),"Unknown")</f>
        <v>Phones</v>
      </c>
      <c r="H147" s="23" t="n">
        <v>1</v>
      </c>
      <c r="I147" s="25" t="n">
        <f aca="false">IFERROR(INDEX(Products!$C$2:$C$13,MATCH(F147,Products!$A$2:$A$13,0)),0)</f>
        <v>640</v>
      </c>
      <c r="J147" s="25" t="n">
        <f aca="false">H147*I147</f>
        <v>640</v>
      </c>
      <c r="K147" s="25" t="n">
        <f aca="false">IFERROR(INDEX(Products!$D$2:$D$13,MATCH(F147,Products!$A$2:$A$13,0)),0)</f>
        <v>470</v>
      </c>
      <c r="L147" s="25" t="n">
        <f aca="false">H147*K147</f>
        <v>470</v>
      </c>
      <c r="M147" s="25" t="n">
        <f aca="false">J147-L147</f>
        <v>170</v>
      </c>
    </row>
    <row r="148" customFormat="false" ht="15" hidden="false" customHeight="false" outlineLevel="0" collapsed="false">
      <c r="A148" s="23" t="s">
        <v>232</v>
      </c>
      <c r="B148" s="24" t="n">
        <v>45769</v>
      </c>
      <c r="C148" s="23" t="n">
        <f aca="false">MONTH(B148)</f>
        <v>4</v>
      </c>
      <c r="D148" s="23" t="s">
        <v>21</v>
      </c>
      <c r="E148" s="23" t="s">
        <v>87</v>
      </c>
      <c r="F148" s="23" t="s">
        <v>96</v>
      </c>
      <c r="G148" s="23" t="str">
        <f aca="false">IFERROR(INDEX(Products!$B$2:$B$13,MATCH(F148,Products!$A$2:$A$13,0)),"Unknown")</f>
        <v>Tablets</v>
      </c>
      <c r="H148" s="23" t="n">
        <v>3</v>
      </c>
      <c r="I148" s="25" t="n">
        <f aca="false">IFERROR(INDEX(Products!$C$2:$C$13,MATCH(F148,Products!$A$2:$A$13,0)),0)</f>
        <v>260</v>
      </c>
      <c r="J148" s="25" t="n">
        <f aca="false">H148*I148</f>
        <v>780</v>
      </c>
      <c r="K148" s="25" t="n">
        <f aca="false">IFERROR(INDEX(Products!$D$2:$D$13,MATCH(F148,Products!$A$2:$A$13,0)),0)</f>
        <v>180</v>
      </c>
      <c r="L148" s="25" t="n">
        <f aca="false">H148*K148</f>
        <v>540</v>
      </c>
      <c r="M148" s="25" t="n">
        <f aca="false">J148-L148</f>
        <v>240</v>
      </c>
    </row>
    <row r="149" customFormat="false" ht="15" hidden="false" customHeight="false" outlineLevel="0" collapsed="false">
      <c r="A149" s="23" t="s">
        <v>233</v>
      </c>
      <c r="B149" s="24" t="n">
        <v>45770</v>
      </c>
      <c r="C149" s="23" t="n">
        <f aca="false">MONTH(B149)</f>
        <v>4</v>
      </c>
      <c r="D149" s="23" t="s">
        <v>21</v>
      </c>
      <c r="E149" s="23" t="s">
        <v>90</v>
      </c>
      <c r="F149" s="23" t="s">
        <v>79</v>
      </c>
      <c r="G149" s="23" t="str">
        <f aca="false">IFERROR(INDEX(Products!$B$2:$B$13,MATCH(F149,Products!$A$2:$A$13,0)),"Unknown")</f>
        <v>Accessories</v>
      </c>
      <c r="H149" s="23" t="n">
        <v>3</v>
      </c>
      <c r="I149" s="25" t="n">
        <f aca="false">IFERROR(INDEX(Products!$C$2:$C$13,MATCH(F149,Products!$A$2:$A$13,0)),0)</f>
        <v>190</v>
      </c>
      <c r="J149" s="25" t="n">
        <f aca="false">H149*I149</f>
        <v>570</v>
      </c>
      <c r="K149" s="25" t="n">
        <f aca="false">IFERROR(INDEX(Products!$D$2:$D$13,MATCH(F149,Products!$A$2:$A$13,0)),0)</f>
        <v>115</v>
      </c>
      <c r="L149" s="25" t="n">
        <f aca="false">H149*K149</f>
        <v>345</v>
      </c>
      <c r="M149" s="25" t="n">
        <f aca="false">J149-L149</f>
        <v>225</v>
      </c>
    </row>
    <row r="150" customFormat="false" ht="15" hidden="false" customHeight="false" outlineLevel="0" collapsed="false">
      <c r="A150" s="23" t="s">
        <v>234</v>
      </c>
      <c r="B150" s="24" t="n">
        <v>45771</v>
      </c>
      <c r="C150" s="23" t="n">
        <f aca="false">MONTH(B150)</f>
        <v>4</v>
      </c>
      <c r="D150" s="23" t="s">
        <v>21</v>
      </c>
      <c r="E150" s="23" t="s">
        <v>87</v>
      </c>
      <c r="F150" s="23" t="s">
        <v>104</v>
      </c>
      <c r="G150" s="23" t="str">
        <f aca="false">IFERROR(INDEX(Products!$B$2:$B$13,MATCH(F150,Products!$A$2:$A$13,0)),"Unknown")</f>
        <v>Phones</v>
      </c>
      <c r="H150" s="23" t="n">
        <v>5</v>
      </c>
      <c r="I150" s="25" t="n">
        <f aca="false">IFERROR(INDEX(Products!$C$2:$C$13,MATCH(F150,Products!$A$2:$A$13,0)),0)</f>
        <v>290</v>
      </c>
      <c r="J150" s="25" t="n">
        <f aca="false">H150*I150</f>
        <v>1450</v>
      </c>
      <c r="K150" s="25" t="n">
        <f aca="false">IFERROR(INDEX(Products!$D$2:$D$13,MATCH(F150,Products!$A$2:$A$13,0)),0)</f>
        <v>205</v>
      </c>
      <c r="L150" s="25" t="n">
        <f aca="false">H150*K150</f>
        <v>1025</v>
      </c>
      <c r="M150" s="25" t="n">
        <f aca="false">J150-L150</f>
        <v>425</v>
      </c>
    </row>
    <row r="151" customFormat="false" ht="15" hidden="false" customHeight="false" outlineLevel="0" collapsed="false">
      <c r="A151" s="23" t="s">
        <v>235</v>
      </c>
      <c r="B151" s="24" t="n">
        <v>45771</v>
      </c>
      <c r="C151" s="23" t="n">
        <f aca="false">MONTH(B151)</f>
        <v>4</v>
      </c>
      <c r="D151" s="23" t="s">
        <v>21</v>
      </c>
      <c r="E151" s="23" t="s">
        <v>87</v>
      </c>
      <c r="F151" s="23" t="s">
        <v>98</v>
      </c>
      <c r="G151" s="23" t="str">
        <f aca="false">IFERROR(INDEX(Products!$B$2:$B$13,MATCH(F151,Products!$A$2:$A$13,0)),"Unknown")</f>
        <v>Monitors</v>
      </c>
      <c r="H151" s="23" t="n">
        <v>2</v>
      </c>
      <c r="I151" s="25" t="n">
        <f aca="false">IFERROR(INDEX(Products!$C$2:$C$13,MATCH(F151,Products!$A$2:$A$13,0)),0)</f>
        <v>480</v>
      </c>
      <c r="J151" s="25" t="n">
        <f aca="false">H151*I151</f>
        <v>960</v>
      </c>
      <c r="K151" s="25" t="n">
        <f aca="false">IFERROR(INDEX(Products!$D$2:$D$13,MATCH(F151,Products!$A$2:$A$13,0)),0)</f>
        <v>350</v>
      </c>
      <c r="L151" s="25" t="n">
        <f aca="false">H151*K151</f>
        <v>700</v>
      </c>
      <c r="M151" s="25" t="n">
        <f aca="false">J151-L151</f>
        <v>260</v>
      </c>
    </row>
    <row r="152" customFormat="false" ht="15" hidden="false" customHeight="false" outlineLevel="0" collapsed="false">
      <c r="A152" s="23" t="s">
        <v>236</v>
      </c>
      <c r="B152" s="24" t="n">
        <v>45772</v>
      </c>
      <c r="C152" s="23" t="n">
        <f aca="false">MONTH(B152)</f>
        <v>4</v>
      </c>
      <c r="D152" s="23" t="s">
        <v>23</v>
      </c>
      <c r="E152" s="23" t="s">
        <v>85</v>
      </c>
      <c r="F152" s="23" t="s">
        <v>83</v>
      </c>
      <c r="G152" s="23" t="str">
        <f aca="false">IFERROR(INDEX(Products!$B$2:$B$13,MATCH(F152,Products!$A$2:$A$13,0)),"Unknown")</f>
        <v>Phones</v>
      </c>
      <c r="H152" s="23" t="n">
        <v>1</v>
      </c>
      <c r="I152" s="25" t="n">
        <f aca="false">IFERROR(INDEX(Products!$C$2:$C$13,MATCH(F152,Products!$A$2:$A$13,0)),0)</f>
        <v>640</v>
      </c>
      <c r="J152" s="25" t="n">
        <f aca="false">H152*I152</f>
        <v>640</v>
      </c>
      <c r="K152" s="25" t="n">
        <f aca="false">IFERROR(INDEX(Products!$D$2:$D$13,MATCH(F152,Products!$A$2:$A$13,0)),0)</f>
        <v>470</v>
      </c>
      <c r="L152" s="25" t="n">
        <f aca="false">H152*K152</f>
        <v>470</v>
      </c>
      <c r="M152" s="25" t="n">
        <f aca="false">J152-L152</f>
        <v>170</v>
      </c>
    </row>
    <row r="153" customFormat="false" ht="15" hidden="false" customHeight="false" outlineLevel="0" collapsed="false">
      <c r="A153" s="23" t="s">
        <v>237</v>
      </c>
      <c r="B153" s="24" t="n">
        <v>45772</v>
      </c>
      <c r="C153" s="23" t="n">
        <f aca="false">MONTH(B153)</f>
        <v>4</v>
      </c>
      <c r="D153" s="23" t="s">
        <v>19</v>
      </c>
      <c r="E153" s="23" t="s">
        <v>73</v>
      </c>
      <c r="F153" s="23" t="s">
        <v>98</v>
      </c>
      <c r="G153" s="23" t="str">
        <f aca="false">IFERROR(INDEX(Products!$B$2:$B$13,MATCH(F153,Products!$A$2:$A$13,0)),"Unknown")</f>
        <v>Monitors</v>
      </c>
      <c r="H153" s="23" t="n">
        <v>1</v>
      </c>
      <c r="I153" s="25" t="n">
        <f aca="false">IFERROR(INDEX(Products!$C$2:$C$13,MATCH(F153,Products!$A$2:$A$13,0)),0)</f>
        <v>480</v>
      </c>
      <c r="J153" s="25" t="n">
        <f aca="false">H153*I153</f>
        <v>480</v>
      </c>
      <c r="K153" s="25" t="n">
        <f aca="false">IFERROR(INDEX(Products!$D$2:$D$13,MATCH(F153,Products!$A$2:$A$13,0)),0)</f>
        <v>350</v>
      </c>
      <c r="L153" s="25" t="n">
        <f aca="false">H153*K153</f>
        <v>350</v>
      </c>
      <c r="M153" s="25" t="n">
        <f aca="false">J153-L153</f>
        <v>130</v>
      </c>
    </row>
    <row r="154" customFormat="false" ht="15" hidden="false" customHeight="false" outlineLevel="0" collapsed="false">
      <c r="A154" s="23" t="s">
        <v>238</v>
      </c>
      <c r="B154" s="24" t="n">
        <v>45773</v>
      </c>
      <c r="C154" s="23" t="n">
        <f aca="false">MONTH(B154)</f>
        <v>4</v>
      </c>
      <c r="D154" s="23" t="s">
        <v>17</v>
      </c>
      <c r="E154" s="23" t="s">
        <v>116</v>
      </c>
      <c r="F154" s="23" t="s">
        <v>104</v>
      </c>
      <c r="G154" s="23" t="str">
        <f aca="false">IFERROR(INDEX(Products!$B$2:$B$13,MATCH(F154,Products!$A$2:$A$13,0)),"Unknown")</f>
        <v>Phones</v>
      </c>
      <c r="H154" s="23" t="n">
        <v>4</v>
      </c>
      <c r="I154" s="25" t="n">
        <f aca="false">IFERROR(INDEX(Products!$C$2:$C$13,MATCH(F154,Products!$A$2:$A$13,0)),0)</f>
        <v>290</v>
      </c>
      <c r="J154" s="25" t="n">
        <f aca="false">H154*I154</f>
        <v>1160</v>
      </c>
      <c r="K154" s="25" t="n">
        <f aca="false">IFERROR(INDEX(Products!$D$2:$D$13,MATCH(F154,Products!$A$2:$A$13,0)),0)</f>
        <v>205</v>
      </c>
      <c r="L154" s="25" t="n">
        <f aca="false">H154*K154</f>
        <v>820</v>
      </c>
      <c r="M154" s="25" t="n">
        <f aca="false">J154-L154</f>
        <v>340</v>
      </c>
    </row>
    <row r="155" customFormat="false" ht="15" hidden="false" customHeight="false" outlineLevel="0" collapsed="false">
      <c r="A155" s="23" t="s">
        <v>239</v>
      </c>
      <c r="B155" s="24" t="n">
        <v>45775</v>
      </c>
      <c r="C155" s="23" t="n">
        <f aca="false">MONTH(B155)</f>
        <v>4</v>
      </c>
      <c r="D155" s="23" t="s">
        <v>19</v>
      </c>
      <c r="E155" s="23" t="s">
        <v>70</v>
      </c>
      <c r="F155" s="23" t="s">
        <v>71</v>
      </c>
      <c r="G155" s="23" t="str">
        <f aca="false">IFERROR(INDEX(Products!$B$2:$B$13,MATCH(F155,Products!$A$2:$A$13,0)),"Unknown")</f>
        <v>Accessories</v>
      </c>
      <c r="H155" s="23" t="n">
        <v>3</v>
      </c>
      <c r="I155" s="25" t="n">
        <f aca="false">IFERROR(INDEX(Products!$C$2:$C$13,MATCH(F155,Products!$A$2:$A$13,0)),0)</f>
        <v>45</v>
      </c>
      <c r="J155" s="25" t="n">
        <f aca="false">H155*I155</f>
        <v>135</v>
      </c>
      <c r="K155" s="25" t="n">
        <f aca="false">IFERROR(INDEX(Products!$D$2:$D$13,MATCH(F155,Products!$A$2:$A$13,0)),0)</f>
        <v>18</v>
      </c>
      <c r="L155" s="25" t="n">
        <f aca="false">H155*K155</f>
        <v>54</v>
      </c>
      <c r="M155" s="25" t="n">
        <f aca="false">J155-L155</f>
        <v>81</v>
      </c>
    </row>
    <row r="156" customFormat="false" ht="15" hidden="false" customHeight="false" outlineLevel="0" collapsed="false">
      <c r="A156" s="23" t="s">
        <v>240</v>
      </c>
      <c r="B156" s="24" t="n">
        <v>45779</v>
      </c>
      <c r="C156" s="23" t="n">
        <f aca="false">MONTH(B156)</f>
        <v>5</v>
      </c>
      <c r="D156" s="23" t="s">
        <v>19</v>
      </c>
      <c r="E156" s="23" t="s">
        <v>70</v>
      </c>
      <c r="F156" s="23" t="s">
        <v>96</v>
      </c>
      <c r="G156" s="23" t="str">
        <f aca="false">IFERROR(INDEX(Products!$B$2:$B$13,MATCH(F156,Products!$A$2:$A$13,0)),"Unknown")</f>
        <v>Tablets</v>
      </c>
      <c r="H156" s="23" t="n">
        <v>5</v>
      </c>
      <c r="I156" s="25" t="n">
        <f aca="false">IFERROR(INDEX(Products!$C$2:$C$13,MATCH(F156,Products!$A$2:$A$13,0)),0)</f>
        <v>260</v>
      </c>
      <c r="J156" s="25" t="n">
        <f aca="false">H156*I156</f>
        <v>1300</v>
      </c>
      <c r="K156" s="25" t="n">
        <f aca="false">IFERROR(INDEX(Products!$D$2:$D$13,MATCH(F156,Products!$A$2:$A$13,0)),0)</f>
        <v>180</v>
      </c>
      <c r="L156" s="25" t="n">
        <f aca="false">H156*K156</f>
        <v>900</v>
      </c>
      <c r="M156" s="25" t="n">
        <f aca="false">J156-L156</f>
        <v>400</v>
      </c>
    </row>
    <row r="157" customFormat="false" ht="15" hidden="false" customHeight="false" outlineLevel="0" collapsed="false">
      <c r="A157" s="23" t="s">
        <v>241</v>
      </c>
      <c r="B157" s="24" t="n">
        <v>45779</v>
      </c>
      <c r="C157" s="23" t="n">
        <f aca="false">MONTH(B157)</f>
        <v>5</v>
      </c>
      <c r="D157" s="23" t="s">
        <v>21</v>
      </c>
      <c r="E157" s="23" t="s">
        <v>87</v>
      </c>
      <c r="F157" s="23" t="s">
        <v>71</v>
      </c>
      <c r="G157" s="23" t="str">
        <f aca="false">IFERROR(INDEX(Products!$B$2:$B$13,MATCH(F157,Products!$A$2:$A$13,0)),"Unknown")</f>
        <v>Accessories</v>
      </c>
      <c r="H157" s="23" t="n">
        <v>6</v>
      </c>
      <c r="I157" s="25" t="n">
        <f aca="false">IFERROR(INDEX(Products!$C$2:$C$13,MATCH(F157,Products!$A$2:$A$13,0)),0)</f>
        <v>45</v>
      </c>
      <c r="J157" s="25" t="n">
        <f aca="false">H157*I157</f>
        <v>270</v>
      </c>
      <c r="K157" s="25" t="n">
        <f aca="false">IFERROR(INDEX(Products!$D$2:$D$13,MATCH(F157,Products!$A$2:$A$13,0)),0)</f>
        <v>18</v>
      </c>
      <c r="L157" s="25" t="n">
        <f aca="false">H157*K157</f>
        <v>108</v>
      </c>
      <c r="M157" s="25" t="n">
        <f aca="false">J157-L157</f>
        <v>162</v>
      </c>
    </row>
    <row r="158" customFormat="false" ht="15" hidden="false" customHeight="false" outlineLevel="0" collapsed="false">
      <c r="A158" s="23" t="s">
        <v>242</v>
      </c>
      <c r="B158" s="24" t="n">
        <v>45780</v>
      </c>
      <c r="C158" s="23" t="n">
        <f aca="false">MONTH(B158)</f>
        <v>5</v>
      </c>
      <c r="D158" s="23" t="s">
        <v>19</v>
      </c>
      <c r="E158" s="23" t="s">
        <v>70</v>
      </c>
      <c r="F158" s="23" t="s">
        <v>74</v>
      </c>
      <c r="G158" s="23" t="str">
        <f aca="false">IFERROR(INDEX(Products!$B$2:$B$13,MATCH(F158,Products!$A$2:$A$13,0)),"Unknown")</f>
        <v>Monitors</v>
      </c>
      <c r="H158" s="23" t="n">
        <v>2</v>
      </c>
      <c r="I158" s="25" t="n">
        <f aca="false">IFERROR(INDEX(Products!$C$2:$C$13,MATCH(F158,Products!$A$2:$A$13,0)),0)</f>
        <v>310</v>
      </c>
      <c r="J158" s="25" t="n">
        <f aca="false">H158*I158</f>
        <v>620</v>
      </c>
      <c r="K158" s="25" t="n">
        <f aca="false">IFERROR(INDEX(Products!$D$2:$D$13,MATCH(F158,Products!$A$2:$A$13,0)),0)</f>
        <v>225</v>
      </c>
      <c r="L158" s="25" t="n">
        <f aca="false">H158*K158</f>
        <v>450</v>
      </c>
      <c r="M158" s="25" t="n">
        <f aca="false">J158-L158</f>
        <v>170</v>
      </c>
    </row>
    <row r="159" customFormat="false" ht="15" hidden="false" customHeight="false" outlineLevel="0" collapsed="false">
      <c r="A159" s="23" t="s">
        <v>243</v>
      </c>
      <c r="B159" s="24" t="n">
        <v>45780</v>
      </c>
      <c r="C159" s="23" t="n">
        <f aca="false">MONTH(B159)</f>
        <v>5</v>
      </c>
      <c r="D159" s="23" t="s">
        <v>17</v>
      </c>
      <c r="E159" s="23" t="s">
        <v>116</v>
      </c>
      <c r="F159" s="23" t="s">
        <v>94</v>
      </c>
      <c r="G159" s="23" t="str">
        <f aca="false">IFERROR(INDEX(Products!$B$2:$B$13,MATCH(F159,Products!$A$2:$A$13,0)),"Unknown")</f>
        <v>Laptops</v>
      </c>
      <c r="H159" s="23" t="n">
        <v>2</v>
      </c>
      <c r="I159" s="25" t="n">
        <f aca="false">IFERROR(INDEX(Products!$C$2:$C$13,MATCH(F159,Products!$A$2:$A$13,0)),0)</f>
        <v>1350</v>
      </c>
      <c r="J159" s="25" t="n">
        <f aca="false">H159*I159</f>
        <v>2700</v>
      </c>
      <c r="K159" s="25" t="n">
        <f aca="false">IFERROR(INDEX(Products!$D$2:$D$13,MATCH(F159,Products!$A$2:$A$13,0)),0)</f>
        <v>1040</v>
      </c>
      <c r="L159" s="25" t="n">
        <f aca="false">H159*K159</f>
        <v>2080</v>
      </c>
      <c r="M159" s="25" t="n">
        <f aca="false">J159-L159</f>
        <v>620</v>
      </c>
    </row>
    <row r="160" customFormat="false" ht="15" hidden="false" customHeight="false" outlineLevel="0" collapsed="false">
      <c r="A160" s="23" t="s">
        <v>244</v>
      </c>
      <c r="B160" s="24" t="n">
        <v>45780</v>
      </c>
      <c r="C160" s="23" t="n">
        <f aca="false">MONTH(B160)</f>
        <v>5</v>
      </c>
      <c r="D160" s="23" t="s">
        <v>21</v>
      </c>
      <c r="E160" s="23" t="s">
        <v>87</v>
      </c>
      <c r="F160" s="23" t="s">
        <v>83</v>
      </c>
      <c r="G160" s="23" t="str">
        <f aca="false">IFERROR(INDEX(Products!$B$2:$B$13,MATCH(F160,Products!$A$2:$A$13,0)),"Unknown")</f>
        <v>Phones</v>
      </c>
      <c r="H160" s="23" t="n">
        <v>1</v>
      </c>
      <c r="I160" s="25" t="n">
        <f aca="false">IFERROR(INDEX(Products!$C$2:$C$13,MATCH(F160,Products!$A$2:$A$13,0)),0)</f>
        <v>640</v>
      </c>
      <c r="J160" s="25" t="n">
        <f aca="false">H160*I160</f>
        <v>640</v>
      </c>
      <c r="K160" s="25" t="n">
        <f aca="false">IFERROR(INDEX(Products!$D$2:$D$13,MATCH(F160,Products!$A$2:$A$13,0)),0)</f>
        <v>470</v>
      </c>
      <c r="L160" s="25" t="n">
        <f aca="false">H160*K160</f>
        <v>470</v>
      </c>
      <c r="M160" s="25" t="n">
        <f aca="false">J160-L160</f>
        <v>170</v>
      </c>
    </row>
    <row r="161" customFormat="false" ht="15" hidden="false" customHeight="false" outlineLevel="0" collapsed="false">
      <c r="A161" s="23" t="s">
        <v>245</v>
      </c>
      <c r="B161" s="24" t="n">
        <v>45781</v>
      </c>
      <c r="C161" s="23" t="n">
        <f aca="false">MONTH(B161)</f>
        <v>5</v>
      </c>
      <c r="D161" s="23" t="s">
        <v>19</v>
      </c>
      <c r="E161" s="23" t="s">
        <v>73</v>
      </c>
      <c r="F161" s="23" t="s">
        <v>88</v>
      </c>
      <c r="G161" s="23" t="str">
        <f aca="false">IFERROR(INDEX(Products!$B$2:$B$13,MATCH(F161,Products!$A$2:$A$13,0)),"Unknown")</f>
        <v>Accessories</v>
      </c>
      <c r="H161" s="23" t="n">
        <v>6</v>
      </c>
      <c r="I161" s="25" t="n">
        <f aca="false">IFERROR(INDEX(Products!$C$2:$C$13,MATCH(F161,Products!$A$2:$A$13,0)),0)</f>
        <v>85</v>
      </c>
      <c r="J161" s="25" t="n">
        <f aca="false">H161*I161</f>
        <v>510</v>
      </c>
      <c r="K161" s="25" t="n">
        <f aca="false">IFERROR(INDEX(Products!$D$2:$D$13,MATCH(F161,Products!$A$2:$A$13,0)),0)</f>
        <v>38</v>
      </c>
      <c r="L161" s="25" t="n">
        <f aca="false">H161*K161</f>
        <v>228</v>
      </c>
      <c r="M161" s="25" t="n">
        <f aca="false">J161-L161</f>
        <v>282</v>
      </c>
    </row>
    <row r="162" customFormat="false" ht="15" hidden="false" customHeight="false" outlineLevel="0" collapsed="false">
      <c r="A162" s="23" t="s">
        <v>246</v>
      </c>
      <c r="B162" s="24" t="n">
        <v>45781</v>
      </c>
      <c r="C162" s="23" t="n">
        <f aca="false">MONTH(B162)</f>
        <v>5</v>
      </c>
      <c r="D162" s="23" t="s">
        <v>17</v>
      </c>
      <c r="E162" s="23" t="s">
        <v>67</v>
      </c>
      <c r="F162" s="23" t="s">
        <v>91</v>
      </c>
      <c r="G162" s="23" t="str">
        <f aca="false">IFERROR(INDEX(Products!$B$2:$B$13,MATCH(F162,Products!$A$2:$A$13,0)),"Unknown")</f>
        <v>Tablets</v>
      </c>
      <c r="H162" s="23" t="n">
        <v>2</v>
      </c>
      <c r="I162" s="25" t="n">
        <f aca="false">IFERROR(INDEX(Products!$C$2:$C$13,MATCH(F162,Products!$A$2:$A$13,0)),0)</f>
        <v>420</v>
      </c>
      <c r="J162" s="25" t="n">
        <f aca="false">H162*I162</f>
        <v>840</v>
      </c>
      <c r="K162" s="25" t="n">
        <f aca="false">IFERROR(INDEX(Products!$D$2:$D$13,MATCH(F162,Products!$A$2:$A$13,0)),0)</f>
        <v>300</v>
      </c>
      <c r="L162" s="25" t="n">
        <f aca="false">H162*K162</f>
        <v>600</v>
      </c>
      <c r="M162" s="25" t="n">
        <f aca="false">J162-L162</f>
        <v>240</v>
      </c>
    </row>
    <row r="163" customFormat="false" ht="15" hidden="false" customHeight="false" outlineLevel="0" collapsed="false">
      <c r="A163" s="23" t="s">
        <v>247</v>
      </c>
      <c r="B163" s="24" t="n">
        <v>45783</v>
      </c>
      <c r="C163" s="23" t="n">
        <f aca="false">MONTH(B163)</f>
        <v>5</v>
      </c>
      <c r="D163" s="23" t="s">
        <v>23</v>
      </c>
      <c r="E163" s="23" t="s">
        <v>77</v>
      </c>
      <c r="F163" s="23" t="s">
        <v>88</v>
      </c>
      <c r="G163" s="23" t="str">
        <f aca="false">IFERROR(INDEX(Products!$B$2:$B$13,MATCH(F163,Products!$A$2:$A$13,0)),"Unknown")</f>
        <v>Accessories</v>
      </c>
      <c r="H163" s="23" t="n">
        <v>15</v>
      </c>
      <c r="I163" s="25" t="n">
        <f aca="false">IFERROR(INDEX(Products!$C$2:$C$13,MATCH(F163,Products!$A$2:$A$13,0)),0)</f>
        <v>85</v>
      </c>
      <c r="J163" s="25" t="n">
        <f aca="false">H163*I163</f>
        <v>1275</v>
      </c>
      <c r="K163" s="25" t="n">
        <f aca="false">IFERROR(INDEX(Products!$D$2:$D$13,MATCH(F163,Products!$A$2:$A$13,0)),0)</f>
        <v>38</v>
      </c>
      <c r="L163" s="25" t="n">
        <f aca="false">H163*K163</f>
        <v>570</v>
      </c>
      <c r="M163" s="25" t="n">
        <f aca="false">J163-L163</f>
        <v>705</v>
      </c>
    </row>
    <row r="164" customFormat="false" ht="15" hidden="false" customHeight="false" outlineLevel="0" collapsed="false">
      <c r="A164" s="23" t="s">
        <v>248</v>
      </c>
      <c r="B164" s="24" t="n">
        <v>45783</v>
      </c>
      <c r="C164" s="23" t="n">
        <f aca="false">MONTH(B164)</f>
        <v>5</v>
      </c>
      <c r="D164" s="23" t="s">
        <v>19</v>
      </c>
      <c r="E164" s="23" t="s">
        <v>73</v>
      </c>
      <c r="F164" s="23" t="s">
        <v>68</v>
      </c>
      <c r="G164" s="23" t="str">
        <f aca="false">IFERROR(INDEX(Products!$B$2:$B$13,MATCH(F164,Products!$A$2:$A$13,0)),"Unknown")</f>
        <v>Laptops</v>
      </c>
      <c r="H164" s="23" t="n">
        <v>4</v>
      </c>
      <c r="I164" s="25" t="n">
        <f aca="false">IFERROR(INDEX(Products!$C$2:$C$13,MATCH(F164,Products!$A$2:$A$13,0)),0)</f>
        <v>780</v>
      </c>
      <c r="J164" s="25" t="n">
        <f aca="false">H164*I164</f>
        <v>3120</v>
      </c>
      <c r="K164" s="25" t="n">
        <f aca="false">IFERROR(INDEX(Products!$D$2:$D$13,MATCH(F164,Products!$A$2:$A$13,0)),0)</f>
        <v>590</v>
      </c>
      <c r="L164" s="25" t="n">
        <f aca="false">H164*K164</f>
        <v>2360</v>
      </c>
      <c r="M164" s="25" t="n">
        <f aca="false">J164-L164</f>
        <v>760</v>
      </c>
    </row>
    <row r="165" customFormat="false" ht="15" hidden="false" customHeight="false" outlineLevel="0" collapsed="false">
      <c r="A165" s="23" t="s">
        <v>249</v>
      </c>
      <c r="B165" s="24" t="n">
        <v>45784</v>
      </c>
      <c r="C165" s="23" t="n">
        <f aca="false">MONTH(B165)</f>
        <v>5</v>
      </c>
      <c r="D165" s="23" t="s">
        <v>23</v>
      </c>
      <c r="E165" s="23" t="s">
        <v>77</v>
      </c>
      <c r="F165" s="23" t="s">
        <v>71</v>
      </c>
      <c r="G165" s="23" t="str">
        <f aca="false">IFERROR(INDEX(Products!$B$2:$B$13,MATCH(F165,Products!$A$2:$A$13,0)),"Unknown")</f>
        <v>Accessories</v>
      </c>
      <c r="H165" s="23" t="n">
        <v>3</v>
      </c>
      <c r="I165" s="25" t="n">
        <f aca="false">IFERROR(INDEX(Products!$C$2:$C$13,MATCH(F165,Products!$A$2:$A$13,0)),0)</f>
        <v>45</v>
      </c>
      <c r="J165" s="25" t="n">
        <f aca="false">H165*I165</f>
        <v>135</v>
      </c>
      <c r="K165" s="25" t="n">
        <f aca="false">IFERROR(INDEX(Products!$D$2:$D$13,MATCH(F165,Products!$A$2:$A$13,0)),0)</f>
        <v>18</v>
      </c>
      <c r="L165" s="25" t="n">
        <f aca="false">H165*K165</f>
        <v>54</v>
      </c>
      <c r="M165" s="25" t="n">
        <f aca="false">J165-L165</f>
        <v>81</v>
      </c>
    </row>
    <row r="166" customFormat="false" ht="15" hidden="false" customHeight="false" outlineLevel="0" collapsed="false">
      <c r="A166" s="23" t="s">
        <v>250</v>
      </c>
      <c r="B166" s="24" t="n">
        <v>45785</v>
      </c>
      <c r="C166" s="23" t="n">
        <f aca="false">MONTH(B166)</f>
        <v>5</v>
      </c>
      <c r="D166" s="23" t="s">
        <v>17</v>
      </c>
      <c r="E166" s="23" t="s">
        <v>67</v>
      </c>
      <c r="F166" s="23" t="s">
        <v>98</v>
      </c>
      <c r="G166" s="23" t="str">
        <f aca="false">IFERROR(INDEX(Products!$B$2:$B$13,MATCH(F166,Products!$A$2:$A$13,0)),"Unknown")</f>
        <v>Monitors</v>
      </c>
      <c r="H166" s="23" t="n">
        <v>2</v>
      </c>
      <c r="I166" s="25" t="n">
        <f aca="false">IFERROR(INDEX(Products!$C$2:$C$13,MATCH(F166,Products!$A$2:$A$13,0)),0)</f>
        <v>480</v>
      </c>
      <c r="J166" s="25" t="n">
        <f aca="false">H166*I166</f>
        <v>960</v>
      </c>
      <c r="K166" s="25" t="n">
        <f aca="false">IFERROR(INDEX(Products!$D$2:$D$13,MATCH(F166,Products!$A$2:$A$13,0)),0)</f>
        <v>350</v>
      </c>
      <c r="L166" s="25" t="n">
        <f aca="false">H166*K166</f>
        <v>700</v>
      </c>
      <c r="M166" s="25" t="n">
        <f aca="false">J166-L166</f>
        <v>260</v>
      </c>
    </row>
    <row r="167" customFormat="false" ht="15" hidden="false" customHeight="false" outlineLevel="0" collapsed="false">
      <c r="A167" s="23" t="s">
        <v>251</v>
      </c>
      <c r="B167" s="24" t="n">
        <v>45785</v>
      </c>
      <c r="C167" s="23" t="n">
        <f aca="false">MONTH(B167)</f>
        <v>5</v>
      </c>
      <c r="D167" s="23" t="s">
        <v>23</v>
      </c>
      <c r="E167" s="23" t="s">
        <v>85</v>
      </c>
      <c r="F167" s="23" t="s">
        <v>81</v>
      </c>
      <c r="G167" s="23" t="str">
        <f aca="false">IFERROR(INDEX(Products!$B$2:$B$13,MATCH(F167,Products!$A$2:$A$13,0)),"Unknown")</f>
        <v>Laptops</v>
      </c>
      <c r="H167" s="23" t="n">
        <v>5</v>
      </c>
      <c r="I167" s="25" t="n">
        <f aca="false">IFERROR(INDEX(Products!$C$2:$C$13,MATCH(F167,Products!$A$2:$A$13,0)),0)</f>
        <v>950</v>
      </c>
      <c r="J167" s="25" t="n">
        <f aca="false">H167*I167</f>
        <v>4750</v>
      </c>
      <c r="K167" s="25" t="n">
        <f aca="false">IFERROR(INDEX(Products!$D$2:$D$13,MATCH(F167,Products!$A$2:$A$13,0)),0)</f>
        <v>720</v>
      </c>
      <c r="L167" s="25" t="n">
        <f aca="false">H167*K167</f>
        <v>3600</v>
      </c>
      <c r="M167" s="25" t="n">
        <f aca="false">J167-L167</f>
        <v>1150</v>
      </c>
    </row>
    <row r="168" customFormat="false" ht="15" hidden="false" customHeight="false" outlineLevel="0" collapsed="false">
      <c r="A168" s="23" t="s">
        <v>252</v>
      </c>
      <c r="B168" s="24" t="n">
        <v>45785</v>
      </c>
      <c r="C168" s="23" t="n">
        <f aca="false">MONTH(B168)</f>
        <v>5</v>
      </c>
      <c r="D168" s="23" t="s">
        <v>21</v>
      </c>
      <c r="E168" s="23" t="s">
        <v>87</v>
      </c>
      <c r="F168" s="23" t="s">
        <v>98</v>
      </c>
      <c r="G168" s="23" t="str">
        <f aca="false">IFERROR(INDEX(Products!$B$2:$B$13,MATCH(F168,Products!$A$2:$A$13,0)),"Unknown")</f>
        <v>Monitors</v>
      </c>
      <c r="H168" s="23" t="n">
        <v>1</v>
      </c>
      <c r="I168" s="25" t="n">
        <f aca="false">IFERROR(INDEX(Products!$C$2:$C$13,MATCH(F168,Products!$A$2:$A$13,0)),0)</f>
        <v>480</v>
      </c>
      <c r="J168" s="25" t="n">
        <f aca="false">H168*I168</f>
        <v>480</v>
      </c>
      <c r="K168" s="25" t="n">
        <f aca="false">IFERROR(INDEX(Products!$D$2:$D$13,MATCH(F168,Products!$A$2:$A$13,0)),0)</f>
        <v>350</v>
      </c>
      <c r="L168" s="25" t="n">
        <f aca="false">H168*K168</f>
        <v>350</v>
      </c>
      <c r="M168" s="25" t="n">
        <f aca="false">J168-L168</f>
        <v>130</v>
      </c>
    </row>
    <row r="169" customFormat="false" ht="15" hidden="false" customHeight="false" outlineLevel="0" collapsed="false">
      <c r="A169" s="23" t="s">
        <v>253</v>
      </c>
      <c r="B169" s="24" t="n">
        <v>45786</v>
      </c>
      <c r="C169" s="23" t="n">
        <f aca="false">MONTH(B169)</f>
        <v>5</v>
      </c>
      <c r="D169" s="23" t="s">
        <v>23</v>
      </c>
      <c r="E169" s="23" t="s">
        <v>85</v>
      </c>
      <c r="F169" s="23" t="s">
        <v>91</v>
      </c>
      <c r="G169" s="23" t="str">
        <f aca="false">IFERROR(INDEX(Products!$B$2:$B$13,MATCH(F169,Products!$A$2:$A$13,0)),"Unknown")</f>
        <v>Tablets</v>
      </c>
      <c r="H169" s="23" t="n">
        <v>1</v>
      </c>
      <c r="I169" s="25" t="n">
        <f aca="false">IFERROR(INDEX(Products!$C$2:$C$13,MATCH(F169,Products!$A$2:$A$13,0)),0)</f>
        <v>420</v>
      </c>
      <c r="J169" s="25" t="n">
        <f aca="false">H169*I169</f>
        <v>420</v>
      </c>
      <c r="K169" s="25" t="n">
        <f aca="false">IFERROR(INDEX(Products!$D$2:$D$13,MATCH(F169,Products!$A$2:$A$13,0)),0)</f>
        <v>300</v>
      </c>
      <c r="L169" s="25" t="n">
        <f aca="false">H169*K169</f>
        <v>300</v>
      </c>
      <c r="M169" s="25" t="n">
        <f aca="false">J169-L169</f>
        <v>120</v>
      </c>
    </row>
    <row r="170" customFormat="false" ht="15" hidden="false" customHeight="false" outlineLevel="0" collapsed="false">
      <c r="A170" s="23" t="s">
        <v>254</v>
      </c>
      <c r="B170" s="24" t="n">
        <v>45786</v>
      </c>
      <c r="C170" s="23" t="n">
        <f aca="false">MONTH(B170)</f>
        <v>5</v>
      </c>
      <c r="D170" s="23" t="s">
        <v>23</v>
      </c>
      <c r="E170" s="23" t="s">
        <v>77</v>
      </c>
      <c r="F170" s="23" t="s">
        <v>104</v>
      </c>
      <c r="G170" s="23" t="str">
        <f aca="false">IFERROR(INDEX(Products!$B$2:$B$13,MATCH(F170,Products!$A$2:$A$13,0)),"Unknown")</f>
        <v>Phones</v>
      </c>
      <c r="H170" s="23" t="n">
        <v>2</v>
      </c>
      <c r="I170" s="25" t="n">
        <f aca="false">IFERROR(INDEX(Products!$C$2:$C$13,MATCH(F170,Products!$A$2:$A$13,0)),0)</f>
        <v>290</v>
      </c>
      <c r="J170" s="25" t="n">
        <f aca="false">H170*I170</f>
        <v>580</v>
      </c>
      <c r="K170" s="25" t="n">
        <f aca="false">IFERROR(INDEX(Products!$D$2:$D$13,MATCH(F170,Products!$A$2:$A$13,0)),0)</f>
        <v>205</v>
      </c>
      <c r="L170" s="25" t="n">
        <f aca="false">H170*K170</f>
        <v>410</v>
      </c>
      <c r="M170" s="25" t="n">
        <f aca="false">J170-L170</f>
        <v>170</v>
      </c>
    </row>
    <row r="171" customFormat="false" ht="15" hidden="false" customHeight="false" outlineLevel="0" collapsed="false">
      <c r="A171" s="23" t="s">
        <v>255</v>
      </c>
      <c r="B171" s="24" t="n">
        <v>45786</v>
      </c>
      <c r="C171" s="23" t="n">
        <f aca="false">MONTH(B171)</f>
        <v>5</v>
      </c>
      <c r="D171" s="23" t="s">
        <v>17</v>
      </c>
      <c r="E171" s="23" t="s">
        <v>116</v>
      </c>
      <c r="F171" s="23" t="s">
        <v>71</v>
      </c>
      <c r="G171" s="23" t="str">
        <f aca="false">IFERROR(INDEX(Products!$B$2:$B$13,MATCH(F171,Products!$A$2:$A$13,0)),"Unknown")</f>
        <v>Accessories</v>
      </c>
      <c r="H171" s="23" t="n">
        <v>15</v>
      </c>
      <c r="I171" s="25" t="n">
        <f aca="false">IFERROR(INDEX(Products!$C$2:$C$13,MATCH(F171,Products!$A$2:$A$13,0)),0)</f>
        <v>45</v>
      </c>
      <c r="J171" s="25" t="n">
        <f aca="false">H171*I171</f>
        <v>675</v>
      </c>
      <c r="K171" s="25" t="n">
        <f aca="false">IFERROR(INDEX(Products!$D$2:$D$13,MATCH(F171,Products!$A$2:$A$13,0)),0)</f>
        <v>18</v>
      </c>
      <c r="L171" s="25" t="n">
        <f aca="false">H171*K171</f>
        <v>270</v>
      </c>
      <c r="M171" s="25" t="n">
        <f aca="false">J171-L171</f>
        <v>405</v>
      </c>
    </row>
    <row r="172" customFormat="false" ht="15" hidden="false" customHeight="false" outlineLevel="0" collapsed="false">
      <c r="A172" s="23" t="s">
        <v>256</v>
      </c>
      <c r="B172" s="24" t="n">
        <v>45787</v>
      </c>
      <c r="C172" s="23" t="n">
        <f aca="false">MONTH(B172)</f>
        <v>5</v>
      </c>
      <c r="D172" s="23" t="s">
        <v>17</v>
      </c>
      <c r="E172" s="23" t="s">
        <v>67</v>
      </c>
      <c r="F172" s="23" t="s">
        <v>88</v>
      </c>
      <c r="G172" s="23" t="str">
        <f aca="false">IFERROR(INDEX(Products!$B$2:$B$13,MATCH(F172,Products!$A$2:$A$13,0)),"Unknown")</f>
        <v>Accessories</v>
      </c>
      <c r="H172" s="23" t="n">
        <v>3</v>
      </c>
      <c r="I172" s="25" t="n">
        <f aca="false">IFERROR(INDEX(Products!$C$2:$C$13,MATCH(F172,Products!$A$2:$A$13,0)),0)</f>
        <v>85</v>
      </c>
      <c r="J172" s="25" t="n">
        <f aca="false">H172*I172</f>
        <v>255</v>
      </c>
      <c r="K172" s="25" t="n">
        <f aca="false">IFERROR(INDEX(Products!$D$2:$D$13,MATCH(F172,Products!$A$2:$A$13,0)),0)</f>
        <v>38</v>
      </c>
      <c r="L172" s="25" t="n">
        <f aca="false">H172*K172</f>
        <v>114</v>
      </c>
      <c r="M172" s="25" t="n">
        <f aca="false">J172-L172</f>
        <v>141</v>
      </c>
    </row>
    <row r="173" customFormat="false" ht="15" hidden="false" customHeight="false" outlineLevel="0" collapsed="false">
      <c r="A173" s="23" t="s">
        <v>257</v>
      </c>
      <c r="B173" s="24" t="n">
        <v>45787</v>
      </c>
      <c r="C173" s="23" t="n">
        <f aca="false">MONTH(B173)</f>
        <v>5</v>
      </c>
      <c r="D173" s="23" t="s">
        <v>21</v>
      </c>
      <c r="E173" s="23" t="s">
        <v>90</v>
      </c>
      <c r="F173" s="23" t="s">
        <v>71</v>
      </c>
      <c r="G173" s="23" t="str">
        <f aca="false">IFERROR(INDEX(Products!$B$2:$B$13,MATCH(F173,Products!$A$2:$A$13,0)),"Unknown")</f>
        <v>Accessories</v>
      </c>
      <c r="H173" s="23" t="n">
        <v>15</v>
      </c>
      <c r="I173" s="25" t="n">
        <f aca="false">IFERROR(INDEX(Products!$C$2:$C$13,MATCH(F173,Products!$A$2:$A$13,0)),0)</f>
        <v>45</v>
      </c>
      <c r="J173" s="25" t="n">
        <f aca="false">H173*I173</f>
        <v>675</v>
      </c>
      <c r="K173" s="25" t="n">
        <f aca="false">IFERROR(INDEX(Products!$D$2:$D$13,MATCH(F173,Products!$A$2:$A$13,0)),0)</f>
        <v>18</v>
      </c>
      <c r="L173" s="25" t="n">
        <f aca="false">H173*K173</f>
        <v>270</v>
      </c>
      <c r="M173" s="25" t="n">
        <f aca="false">J173-L173</f>
        <v>405</v>
      </c>
    </row>
    <row r="174" customFormat="false" ht="15" hidden="false" customHeight="false" outlineLevel="0" collapsed="false">
      <c r="A174" s="23" t="s">
        <v>258</v>
      </c>
      <c r="B174" s="24" t="n">
        <v>45788</v>
      </c>
      <c r="C174" s="23" t="n">
        <f aca="false">MONTH(B174)</f>
        <v>5</v>
      </c>
      <c r="D174" s="23" t="s">
        <v>19</v>
      </c>
      <c r="E174" s="23" t="s">
        <v>70</v>
      </c>
      <c r="F174" s="23" t="s">
        <v>98</v>
      </c>
      <c r="G174" s="23" t="str">
        <f aca="false">IFERROR(INDEX(Products!$B$2:$B$13,MATCH(F174,Products!$A$2:$A$13,0)),"Unknown")</f>
        <v>Monitors</v>
      </c>
      <c r="H174" s="23" t="n">
        <v>2</v>
      </c>
      <c r="I174" s="25" t="n">
        <f aca="false">IFERROR(INDEX(Products!$C$2:$C$13,MATCH(F174,Products!$A$2:$A$13,0)),0)</f>
        <v>480</v>
      </c>
      <c r="J174" s="25" t="n">
        <f aca="false">H174*I174</f>
        <v>960</v>
      </c>
      <c r="K174" s="25" t="n">
        <f aca="false">IFERROR(INDEX(Products!$D$2:$D$13,MATCH(F174,Products!$A$2:$A$13,0)),0)</f>
        <v>350</v>
      </c>
      <c r="L174" s="25" t="n">
        <f aca="false">H174*K174</f>
        <v>700</v>
      </c>
      <c r="M174" s="25" t="n">
        <f aca="false">J174-L174</f>
        <v>260</v>
      </c>
    </row>
    <row r="175" customFormat="false" ht="15" hidden="false" customHeight="false" outlineLevel="0" collapsed="false">
      <c r="A175" s="23" t="s">
        <v>259</v>
      </c>
      <c r="B175" s="24" t="n">
        <v>45788</v>
      </c>
      <c r="C175" s="23" t="n">
        <f aca="false">MONTH(B175)</f>
        <v>5</v>
      </c>
      <c r="D175" s="23" t="s">
        <v>23</v>
      </c>
      <c r="E175" s="23" t="s">
        <v>77</v>
      </c>
      <c r="F175" s="23" t="s">
        <v>71</v>
      </c>
      <c r="G175" s="23" t="str">
        <f aca="false">IFERROR(INDEX(Products!$B$2:$B$13,MATCH(F175,Products!$A$2:$A$13,0)),"Unknown")</f>
        <v>Accessories</v>
      </c>
      <c r="H175" s="23" t="n">
        <v>3</v>
      </c>
      <c r="I175" s="25" t="n">
        <f aca="false">IFERROR(INDEX(Products!$C$2:$C$13,MATCH(F175,Products!$A$2:$A$13,0)),0)</f>
        <v>45</v>
      </c>
      <c r="J175" s="25" t="n">
        <f aca="false">H175*I175</f>
        <v>135</v>
      </c>
      <c r="K175" s="25" t="n">
        <f aca="false">IFERROR(INDEX(Products!$D$2:$D$13,MATCH(F175,Products!$A$2:$A$13,0)),0)</f>
        <v>18</v>
      </c>
      <c r="L175" s="25" t="n">
        <f aca="false">H175*K175</f>
        <v>54</v>
      </c>
      <c r="M175" s="25" t="n">
        <f aca="false">J175-L175</f>
        <v>81</v>
      </c>
    </row>
    <row r="176" customFormat="false" ht="15" hidden="false" customHeight="false" outlineLevel="0" collapsed="false">
      <c r="A176" s="23" t="s">
        <v>260</v>
      </c>
      <c r="B176" s="24" t="n">
        <v>45789</v>
      </c>
      <c r="C176" s="23" t="n">
        <f aca="false">MONTH(B176)</f>
        <v>5</v>
      </c>
      <c r="D176" s="23" t="s">
        <v>23</v>
      </c>
      <c r="E176" s="23" t="s">
        <v>77</v>
      </c>
      <c r="F176" s="23" t="s">
        <v>68</v>
      </c>
      <c r="G176" s="23" t="str">
        <f aca="false">IFERROR(INDEX(Products!$B$2:$B$13,MATCH(F176,Products!$A$2:$A$13,0)),"Unknown")</f>
        <v>Laptops</v>
      </c>
      <c r="H176" s="23" t="n">
        <v>4</v>
      </c>
      <c r="I176" s="25" t="n">
        <f aca="false">IFERROR(INDEX(Products!$C$2:$C$13,MATCH(F176,Products!$A$2:$A$13,0)),0)</f>
        <v>780</v>
      </c>
      <c r="J176" s="25" t="n">
        <f aca="false">H176*I176</f>
        <v>3120</v>
      </c>
      <c r="K176" s="25" t="n">
        <f aca="false">IFERROR(INDEX(Products!$D$2:$D$13,MATCH(F176,Products!$A$2:$A$13,0)),0)</f>
        <v>590</v>
      </c>
      <c r="L176" s="25" t="n">
        <f aca="false">H176*K176</f>
        <v>2360</v>
      </c>
      <c r="M176" s="25" t="n">
        <f aca="false">J176-L176</f>
        <v>760</v>
      </c>
    </row>
    <row r="177" customFormat="false" ht="15" hidden="false" customHeight="false" outlineLevel="0" collapsed="false">
      <c r="A177" s="23" t="s">
        <v>261</v>
      </c>
      <c r="B177" s="24" t="n">
        <v>45790</v>
      </c>
      <c r="C177" s="23" t="n">
        <f aca="false">MONTH(B177)</f>
        <v>5</v>
      </c>
      <c r="D177" s="23" t="s">
        <v>19</v>
      </c>
      <c r="E177" s="23" t="s">
        <v>73</v>
      </c>
      <c r="F177" s="23" t="s">
        <v>96</v>
      </c>
      <c r="G177" s="23" t="str">
        <f aca="false">IFERROR(INDEX(Products!$B$2:$B$13,MATCH(F177,Products!$A$2:$A$13,0)),"Unknown")</f>
        <v>Tablets</v>
      </c>
      <c r="H177" s="23" t="n">
        <v>1</v>
      </c>
      <c r="I177" s="25" t="n">
        <f aca="false">IFERROR(INDEX(Products!$C$2:$C$13,MATCH(F177,Products!$A$2:$A$13,0)),0)</f>
        <v>260</v>
      </c>
      <c r="J177" s="25" t="n">
        <f aca="false">H177*I177</f>
        <v>260</v>
      </c>
      <c r="K177" s="25" t="n">
        <f aca="false">IFERROR(INDEX(Products!$D$2:$D$13,MATCH(F177,Products!$A$2:$A$13,0)),0)</f>
        <v>180</v>
      </c>
      <c r="L177" s="25" t="n">
        <f aca="false">H177*K177</f>
        <v>180</v>
      </c>
      <c r="M177" s="25" t="n">
        <f aca="false">J177-L177</f>
        <v>80</v>
      </c>
    </row>
    <row r="178" customFormat="false" ht="15" hidden="false" customHeight="false" outlineLevel="0" collapsed="false">
      <c r="A178" s="23" t="s">
        <v>262</v>
      </c>
      <c r="B178" s="24" t="n">
        <v>45790</v>
      </c>
      <c r="C178" s="23" t="n">
        <f aca="false">MONTH(B178)</f>
        <v>5</v>
      </c>
      <c r="D178" s="23" t="s">
        <v>21</v>
      </c>
      <c r="E178" s="23" t="s">
        <v>90</v>
      </c>
      <c r="F178" s="23" t="s">
        <v>88</v>
      </c>
      <c r="G178" s="23" t="str">
        <f aca="false">IFERROR(INDEX(Products!$B$2:$B$13,MATCH(F178,Products!$A$2:$A$13,0)),"Unknown")</f>
        <v>Accessories</v>
      </c>
      <c r="H178" s="23" t="n">
        <v>6</v>
      </c>
      <c r="I178" s="25" t="n">
        <f aca="false">IFERROR(INDEX(Products!$C$2:$C$13,MATCH(F178,Products!$A$2:$A$13,0)),0)</f>
        <v>85</v>
      </c>
      <c r="J178" s="25" t="n">
        <f aca="false">H178*I178</f>
        <v>510</v>
      </c>
      <c r="K178" s="25" t="n">
        <f aca="false">IFERROR(INDEX(Products!$D$2:$D$13,MATCH(F178,Products!$A$2:$A$13,0)),0)</f>
        <v>38</v>
      </c>
      <c r="L178" s="25" t="n">
        <f aca="false">H178*K178</f>
        <v>228</v>
      </c>
      <c r="M178" s="25" t="n">
        <f aca="false">J178-L178</f>
        <v>282</v>
      </c>
    </row>
    <row r="179" customFormat="false" ht="15" hidden="false" customHeight="false" outlineLevel="0" collapsed="false">
      <c r="A179" s="23" t="s">
        <v>263</v>
      </c>
      <c r="B179" s="24" t="n">
        <v>45792</v>
      </c>
      <c r="C179" s="23" t="n">
        <f aca="false">MONTH(B179)</f>
        <v>5</v>
      </c>
      <c r="D179" s="23" t="s">
        <v>17</v>
      </c>
      <c r="E179" s="23" t="s">
        <v>116</v>
      </c>
      <c r="F179" s="23" t="s">
        <v>96</v>
      </c>
      <c r="G179" s="23" t="str">
        <f aca="false">IFERROR(INDEX(Products!$B$2:$B$13,MATCH(F179,Products!$A$2:$A$13,0)),"Unknown")</f>
        <v>Tablets</v>
      </c>
      <c r="H179" s="23" t="n">
        <v>2</v>
      </c>
      <c r="I179" s="25" t="n">
        <f aca="false">IFERROR(INDEX(Products!$C$2:$C$13,MATCH(F179,Products!$A$2:$A$13,0)),0)</f>
        <v>260</v>
      </c>
      <c r="J179" s="25" t="n">
        <f aca="false">H179*I179</f>
        <v>520</v>
      </c>
      <c r="K179" s="25" t="n">
        <f aca="false">IFERROR(INDEX(Products!$D$2:$D$13,MATCH(F179,Products!$A$2:$A$13,0)),0)</f>
        <v>180</v>
      </c>
      <c r="L179" s="25" t="n">
        <f aca="false">H179*K179</f>
        <v>360</v>
      </c>
      <c r="M179" s="25" t="n">
        <f aca="false">J179-L179</f>
        <v>160</v>
      </c>
    </row>
    <row r="180" customFormat="false" ht="15" hidden="false" customHeight="false" outlineLevel="0" collapsed="false">
      <c r="A180" s="23" t="s">
        <v>264</v>
      </c>
      <c r="B180" s="24" t="n">
        <v>45792</v>
      </c>
      <c r="C180" s="23" t="n">
        <f aca="false">MONTH(B180)</f>
        <v>5</v>
      </c>
      <c r="D180" s="23" t="s">
        <v>23</v>
      </c>
      <c r="E180" s="23" t="s">
        <v>77</v>
      </c>
      <c r="F180" s="23" t="s">
        <v>68</v>
      </c>
      <c r="G180" s="23" t="str">
        <f aca="false">IFERROR(INDEX(Products!$B$2:$B$13,MATCH(F180,Products!$A$2:$A$13,0)),"Unknown")</f>
        <v>Laptops</v>
      </c>
      <c r="H180" s="23" t="n">
        <v>2</v>
      </c>
      <c r="I180" s="25" t="n">
        <f aca="false">IFERROR(INDEX(Products!$C$2:$C$13,MATCH(F180,Products!$A$2:$A$13,0)),0)</f>
        <v>780</v>
      </c>
      <c r="J180" s="25" t="n">
        <f aca="false">H180*I180</f>
        <v>1560</v>
      </c>
      <c r="K180" s="25" t="n">
        <f aca="false">IFERROR(INDEX(Products!$D$2:$D$13,MATCH(F180,Products!$A$2:$A$13,0)),0)</f>
        <v>590</v>
      </c>
      <c r="L180" s="25" t="n">
        <f aca="false">H180*K180</f>
        <v>1180</v>
      </c>
      <c r="M180" s="25" t="n">
        <f aca="false">J180-L180</f>
        <v>380</v>
      </c>
    </row>
    <row r="181" customFormat="false" ht="15" hidden="false" customHeight="false" outlineLevel="0" collapsed="false">
      <c r="A181" s="23" t="s">
        <v>265</v>
      </c>
      <c r="B181" s="24" t="n">
        <v>45792</v>
      </c>
      <c r="C181" s="23" t="n">
        <f aca="false">MONTH(B181)</f>
        <v>5</v>
      </c>
      <c r="D181" s="23" t="s">
        <v>23</v>
      </c>
      <c r="E181" s="23" t="s">
        <v>85</v>
      </c>
      <c r="F181" s="23" t="s">
        <v>104</v>
      </c>
      <c r="G181" s="23" t="str">
        <f aca="false">IFERROR(INDEX(Products!$B$2:$B$13,MATCH(F181,Products!$A$2:$A$13,0)),"Unknown")</f>
        <v>Phones</v>
      </c>
      <c r="H181" s="23" t="n">
        <v>4</v>
      </c>
      <c r="I181" s="25" t="n">
        <f aca="false">IFERROR(INDEX(Products!$C$2:$C$13,MATCH(F181,Products!$A$2:$A$13,0)),0)</f>
        <v>290</v>
      </c>
      <c r="J181" s="25" t="n">
        <f aca="false">H181*I181</f>
        <v>1160</v>
      </c>
      <c r="K181" s="25" t="n">
        <f aca="false">IFERROR(INDEX(Products!$D$2:$D$13,MATCH(F181,Products!$A$2:$A$13,0)),0)</f>
        <v>205</v>
      </c>
      <c r="L181" s="25" t="n">
        <f aca="false">H181*K181</f>
        <v>820</v>
      </c>
      <c r="M181" s="25" t="n">
        <f aca="false">J181-L181</f>
        <v>340</v>
      </c>
    </row>
    <row r="182" customFormat="false" ht="15" hidden="false" customHeight="false" outlineLevel="0" collapsed="false">
      <c r="A182" s="23" t="s">
        <v>266</v>
      </c>
      <c r="B182" s="24" t="n">
        <v>45793</v>
      </c>
      <c r="C182" s="23" t="n">
        <f aca="false">MONTH(B182)</f>
        <v>5</v>
      </c>
      <c r="D182" s="23" t="s">
        <v>21</v>
      </c>
      <c r="E182" s="23" t="s">
        <v>90</v>
      </c>
      <c r="F182" s="23" t="s">
        <v>91</v>
      </c>
      <c r="G182" s="23" t="str">
        <f aca="false">IFERROR(INDEX(Products!$B$2:$B$13,MATCH(F182,Products!$A$2:$A$13,0)),"Unknown")</f>
        <v>Tablets</v>
      </c>
      <c r="H182" s="23" t="n">
        <v>3</v>
      </c>
      <c r="I182" s="25" t="n">
        <f aca="false">IFERROR(INDEX(Products!$C$2:$C$13,MATCH(F182,Products!$A$2:$A$13,0)),0)</f>
        <v>420</v>
      </c>
      <c r="J182" s="25" t="n">
        <f aca="false">H182*I182</f>
        <v>1260</v>
      </c>
      <c r="K182" s="25" t="n">
        <f aca="false">IFERROR(INDEX(Products!$D$2:$D$13,MATCH(F182,Products!$A$2:$A$13,0)),0)</f>
        <v>300</v>
      </c>
      <c r="L182" s="25" t="n">
        <f aca="false">H182*K182</f>
        <v>900</v>
      </c>
      <c r="M182" s="25" t="n">
        <f aca="false">J182-L182</f>
        <v>360</v>
      </c>
    </row>
    <row r="183" customFormat="false" ht="15" hidden="false" customHeight="false" outlineLevel="0" collapsed="false">
      <c r="A183" s="23" t="s">
        <v>267</v>
      </c>
      <c r="B183" s="24" t="n">
        <v>45793</v>
      </c>
      <c r="C183" s="23" t="n">
        <f aca="false">MONTH(B183)</f>
        <v>5</v>
      </c>
      <c r="D183" s="23" t="s">
        <v>21</v>
      </c>
      <c r="E183" s="23" t="s">
        <v>87</v>
      </c>
      <c r="F183" s="23" t="s">
        <v>96</v>
      </c>
      <c r="G183" s="23" t="str">
        <f aca="false">IFERROR(INDEX(Products!$B$2:$B$13,MATCH(F183,Products!$A$2:$A$13,0)),"Unknown")</f>
        <v>Tablets</v>
      </c>
      <c r="H183" s="23" t="n">
        <v>2</v>
      </c>
      <c r="I183" s="25" t="n">
        <f aca="false">IFERROR(INDEX(Products!$C$2:$C$13,MATCH(F183,Products!$A$2:$A$13,0)),0)</f>
        <v>260</v>
      </c>
      <c r="J183" s="25" t="n">
        <f aca="false">H183*I183</f>
        <v>520</v>
      </c>
      <c r="K183" s="25" t="n">
        <f aca="false">IFERROR(INDEX(Products!$D$2:$D$13,MATCH(F183,Products!$A$2:$A$13,0)),0)</f>
        <v>180</v>
      </c>
      <c r="L183" s="25" t="n">
        <f aca="false">H183*K183</f>
        <v>360</v>
      </c>
      <c r="M183" s="25" t="n">
        <f aca="false">J183-L183</f>
        <v>160</v>
      </c>
    </row>
    <row r="184" customFormat="false" ht="15" hidden="false" customHeight="false" outlineLevel="0" collapsed="false">
      <c r="A184" s="23" t="s">
        <v>268</v>
      </c>
      <c r="B184" s="24" t="n">
        <v>45793</v>
      </c>
      <c r="C184" s="23" t="n">
        <f aca="false">MONTH(B184)</f>
        <v>5</v>
      </c>
      <c r="D184" s="23" t="s">
        <v>19</v>
      </c>
      <c r="E184" s="23" t="s">
        <v>70</v>
      </c>
      <c r="F184" s="23" t="s">
        <v>83</v>
      </c>
      <c r="G184" s="23" t="str">
        <f aca="false">IFERROR(INDEX(Products!$B$2:$B$13,MATCH(F184,Products!$A$2:$A$13,0)),"Unknown")</f>
        <v>Phones</v>
      </c>
      <c r="H184" s="23" t="n">
        <v>2</v>
      </c>
      <c r="I184" s="25" t="n">
        <f aca="false">IFERROR(INDEX(Products!$C$2:$C$13,MATCH(F184,Products!$A$2:$A$13,0)),0)</f>
        <v>640</v>
      </c>
      <c r="J184" s="25" t="n">
        <f aca="false">H184*I184</f>
        <v>1280</v>
      </c>
      <c r="K184" s="25" t="n">
        <f aca="false">IFERROR(INDEX(Products!$D$2:$D$13,MATCH(F184,Products!$A$2:$A$13,0)),0)</f>
        <v>470</v>
      </c>
      <c r="L184" s="25" t="n">
        <f aca="false">H184*K184</f>
        <v>940</v>
      </c>
      <c r="M184" s="25" t="n">
        <f aca="false">J184-L184</f>
        <v>340</v>
      </c>
    </row>
    <row r="185" customFormat="false" ht="15" hidden="false" customHeight="false" outlineLevel="0" collapsed="false">
      <c r="A185" s="23" t="s">
        <v>269</v>
      </c>
      <c r="B185" s="24" t="n">
        <v>45794</v>
      </c>
      <c r="C185" s="23" t="n">
        <f aca="false">MONTH(B185)</f>
        <v>5</v>
      </c>
      <c r="D185" s="23" t="s">
        <v>21</v>
      </c>
      <c r="E185" s="23" t="s">
        <v>90</v>
      </c>
      <c r="F185" s="23" t="s">
        <v>71</v>
      </c>
      <c r="G185" s="23" t="str">
        <f aca="false">IFERROR(INDEX(Products!$B$2:$B$13,MATCH(F185,Products!$A$2:$A$13,0)),"Unknown")</f>
        <v>Accessories</v>
      </c>
      <c r="H185" s="23" t="n">
        <v>15</v>
      </c>
      <c r="I185" s="25" t="n">
        <f aca="false">IFERROR(INDEX(Products!$C$2:$C$13,MATCH(F185,Products!$A$2:$A$13,0)),0)</f>
        <v>45</v>
      </c>
      <c r="J185" s="25" t="n">
        <f aca="false">H185*I185</f>
        <v>675</v>
      </c>
      <c r="K185" s="25" t="n">
        <f aca="false">IFERROR(INDEX(Products!$D$2:$D$13,MATCH(F185,Products!$A$2:$A$13,0)),0)</f>
        <v>18</v>
      </c>
      <c r="L185" s="25" t="n">
        <f aca="false">H185*K185</f>
        <v>270</v>
      </c>
      <c r="M185" s="25" t="n">
        <f aca="false">J185-L185</f>
        <v>405</v>
      </c>
    </row>
    <row r="186" customFormat="false" ht="15" hidden="false" customHeight="false" outlineLevel="0" collapsed="false">
      <c r="A186" s="23" t="s">
        <v>270</v>
      </c>
      <c r="B186" s="24" t="n">
        <v>45794</v>
      </c>
      <c r="C186" s="23" t="n">
        <f aca="false">MONTH(B186)</f>
        <v>5</v>
      </c>
      <c r="D186" s="23" t="s">
        <v>23</v>
      </c>
      <c r="E186" s="23" t="s">
        <v>85</v>
      </c>
      <c r="F186" s="23" t="s">
        <v>81</v>
      </c>
      <c r="G186" s="23" t="str">
        <f aca="false">IFERROR(INDEX(Products!$B$2:$B$13,MATCH(F186,Products!$A$2:$A$13,0)),"Unknown")</f>
        <v>Laptops</v>
      </c>
      <c r="H186" s="23" t="n">
        <v>1</v>
      </c>
      <c r="I186" s="25" t="n">
        <f aca="false">IFERROR(INDEX(Products!$C$2:$C$13,MATCH(F186,Products!$A$2:$A$13,0)),0)</f>
        <v>950</v>
      </c>
      <c r="J186" s="25" t="n">
        <f aca="false">H186*I186</f>
        <v>950</v>
      </c>
      <c r="K186" s="25" t="n">
        <f aca="false">IFERROR(INDEX(Products!$D$2:$D$13,MATCH(F186,Products!$A$2:$A$13,0)),0)</f>
        <v>720</v>
      </c>
      <c r="L186" s="25" t="n">
        <f aca="false">H186*K186</f>
        <v>720</v>
      </c>
      <c r="M186" s="25" t="n">
        <f aca="false">J186-L186</f>
        <v>230</v>
      </c>
    </row>
    <row r="187" customFormat="false" ht="15" hidden="false" customHeight="false" outlineLevel="0" collapsed="false">
      <c r="A187" s="23" t="s">
        <v>271</v>
      </c>
      <c r="B187" s="24" t="n">
        <v>45795</v>
      </c>
      <c r="C187" s="23" t="n">
        <f aca="false">MONTH(B187)</f>
        <v>5</v>
      </c>
      <c r="D187" s="23" t="s">
        <v>19</v>
      </c>
      <c r="E187" s="23" t="s">
        <v>73</v>
      </c>
      <c r="F187" s="23" t="s">
        <v>104</v>
      </c>
      <c r="G187" s="23" t="str">
        <f aca="false">IFERROR(INDEX(Products!$B$2:$B$13,MATCH(F187,Products!$A$2:$A$13,0)),"Unknown")</f>
        <v>Phones</v>
      </c>
      <c r="H187" s="23" t="n">
        <v>1</v>
      </c>
      <c r="I187" s="25" t="n">
        <f aca="false">IFERROR(INDEX(Products!$C$2:$C$13,MATCH(F187,Products!$A$2:$A$13,0)),0)</f>
        <v>290</v>
      </c>
      <c r="J187" s="25" t="n">
        <f aca="false">H187*I187</f>
        <v>290</v>
      </c>
      <c r="K187" s="25" t="n">
        <f aca="false">IFERROR(INDEX(Products!$D$2:$D$13,MATCH(F187,Products!$A$2:$A$13,0)),0)</f>
        <v>205</v>
      </c>
      <c r="L187" s="25" t="n">
        <f aca="false">H187*K187</f>
        <v>205</v>
      </c>
      <c r="M187" s="25" t="n">
        <f aca="false">J187-L187</f>
        <v>85</v>
      </c>
    </row>
    <row r="188" customFormat="false" ht="15" hidden="false" customHeight="false" outlineLevel="0" collapsed="false">
      <c r="A188" s="23" t="s">
        <v>272</v>
      </c>
      <c r="B188" s="24" t="n">
        <v>45797</v>
      </c>
      <c r="C188" s="23" t="n">
        <f aca="false">MONTH(B188)</f>
        <v>5</v>
      </c>
      <c r="D188" s="23" t="s">
        <v>23</v>
      </c>
      <c r="E188" s="23" t="s">
        <v>85</v>
      </c>
      <c r="F188" s="23" t="s">
        <v>88</v>
      </c>
      <c r="G188" s="23" t="str">
        <f aca="false">IFERROR(INDEX(Products!$B$2:$B$13,MATCH(F188,Products!$A$2:$A$13,0)),"Unknown")</f>
        <v>Accessories</v>
      </c>
      <c r="H188" s="23" t="n">
        <v>9</v>
      </c>
      <c r="I188" s="25" t="n">
        <f aca="false">IFERROR(INDEX(Products!$C$2:$C$13,MATCH(F188,Products!$A$2:$A$13,0)),0)</f>
        <v>85</v>
      </c>
      <c r="J188" s="25" t="n">
        <f aca="false">H188*I188</f>
        <v>765</v>
      </c>
      <c r="K188" s="25" t="n">
        <f aca="false">IFERROR(INDEX(Products!$D$2:$D$13,MATCH(F188,Products!$A$2:$A$13,0)),0)</f>
        <v>38</v>
      </c>
      <c r="L188" s="25" t="n">
        <f aca="false">H188*K188</f>
        <v>342</v>
      </c>
      <c r="M188" s="25" t="n">
        <f aca="false">J188-L188</f>
        <v>423</v>
      </c>
    </row>
    <row r="189" customFormat="false" ht="15" hidden="false" customHeight="false" outlineLevel="0" collapsed="false">
      <c r="A189" s="23" t="s">
        <v>273</v>
      </c>
      <c r="B189" s="24" t="n">
        <v>45798</v>
      </c>
      <c r="C189" s="23" t="n">
        <f aca="false">MONTH(B189)</f>
        <v>5</v>
      </c>
      <c r="D189" s="23" t="s">
        <v>23</v>
      </c>
      <c r="E189" s="23" t="s">
        <v>85</v>
      </c>
      <c r="F189" s="23" t="s">
        <v>88</v>
      </c>
      <c r="G189" s="23" t="str">
        <f aca="false">IFERROR(INDEX(Products!$B$2:$B$13,MATCH(F189,Products!$A$2:$A$13,0)),"Unknown")</f>
        <v>Accessories</v>
      </c>
      <c r="H189" s="23" t="n">
        <v>15</v>
      </c>
      <c r="I189" s="25" t="n">
        <f aca="false">IFERROR(INDEX(Products!$C$2:$C$13,MATCH(F189,Products!$A$2:$A$13,0)),0)</f>
        <v>85</v>
      </c>
      <c r="J189" s="25" t="n">
        <f aca="false">H189*I189</f>
        <v>1275</v>
      </c>
      <c r="K189" s="25" t="n">
        <f aca="false">IFERROR(INDEX(Products!$D$2:$D$13,MATCH(F189,Products!$A$2:$A$13,0)),0)</f>
        <v>38</v>
      </c>
      <c r="L189" s="25" t="n">
        <f aca="false">H189*K189</f>
        <v>570</v>
      </c>
      <c r="M189" s="25" t="n">
        <f aca="false">J189-L189</f>
        <v>705</v>
      </c>
    </row>
    <row r="190" customFormat="false" ht="15" hidden="false" customHeight="false" outlineLevel="0" collapsed="false">
      <c r="A190" s="23" t="s">
        <v>274</v>
      </c>
      <c r="B190" s="24" t="n">
        <v>45799</v>
      </c>
      <c r="C190" s="23" t="n">
        <f aca="false">MONTH(B190)</f>
        <v>5</v>
      </c>
      <c r="D190" s="23" t="s">
        <v>23</v>
      </c>
      <c r="E190" s="23" t="s">
        <v>85</v>
      </c>
      <c r="F190" s="23" t="s">
        <v>71</v>
      </c>
      <c r="G190" s="23" t="str">
        <f aca="false">IFERROR(INDEX(Products!$B$2:$B$13,MATCH(F190,Products!$A$2:$A$13,0)),"Unknown")</f>
        <v>Accessories</v>
      </c>
      <c r="H190" s="23" t="n">
        <v>3</v>
      </c>
      <c r="I190" s="25" t="n">
        <f aca="false">IFERROR(INDEX(Products!$C$2:$C$13,MATCH(F190,Products!$A$2:$A$13,0)),0)</f>
        <v>45</v>
      </c>
      <c r="J190" s="25" t="n">
        <f aca="false">H190*I190</f>
        <v>135</v>
      </c>
      <c r="K190" s="25" t="n">
        <f aca="false">IFERROR(INDEX(Products!$D$2:$D$13,MATCH(F190,Products!$A$2:$A$13,0)),0)</f>
        <v>18</v>
      </c>
      <c r="L190" s="25" t="n">
        <f aca="false">H190*K190</f>
        <v>54</v>
      </c>
      <c r="M190" s="25" t="n">
        <f aca="false">J190-L190</f>
        <v>81</v>
      </c>
    </row>
    <row r="191" customFormat="false" ht="15" hidden="false" customHeight="false" outlineLevel="0" collapsed="false">
      <c r="A191" s="23" t="s">
        <v>275</v>
      </c>
      <c r="B191" s="24" t="n">
        <v>45799</v>
      </c>
      <c r="C191" s="23" t="n">
        <f aca="false">MONTH(B191)</f>
        <v>5</v>
      </c>
      <c r="D191" s="23" t="s">
        <v>19</v>
      </c>
      <c r="E191" s="23" t="s">
        <v>70</v>
      </c>
      <c r="F191" s="23" t="s">
        <v>81</v>
      </c>
      <c r="G191" s="23" t="str">
        <f aca="false">IFERROR(INDEX(Products!$B$2:$B$13,MATCH(F191,Products!$A$2:$A$13,0)),"Unknown")</f>
        <v>Laptops</v>
      </c>
      <c r="H191" s="23" t="n">
        <v>3</v>
      </c>
      <c r="I191" s="25" t="n">
        <f aca="false">IFERROR(INDEX(Products!$C$2:$C$13,MATCH(F191,Products!$A$2:$A$13,0)),0)</f>
        <v>950</v>
      </c>
      <c r="J191" s="25" t="n">
        <f aca="false">H191*I191</f>
        <v>2850</v>
      </c>
      <c r="K191" s="25" t="n">
        <f aca="false">IFERROR(INDEX(Products!$D$2:$D$13,MATCH(F191,Products!$A$2:$A$13,0)),0)</f>
        <v>720</v>
      </c>
      <c r="L191" s="25" t="n">
        <f aca="false">H191*K191</f>
        <v>2160</v>
      </c>
      <c r="M191" s="25" t="n">
        <f aca="false">J191-L191</f>
        <v>690</v>
      </c>
    </row>
    <row r="192" customFormat="false" ht="15" hidden="false" customHeight="false" outlineLevel="0" collapsed="false">
      <c r="A192" s="23" t="s">
        <v>276</v>
      </c>
      <c r="B192" s="24" t="n">
        <v>45801</v>
      </c>
      <c r="C192" s="23" t="n">
        <f aca="false">MONTH(B192)</f>
        <v>5</v>
      </c>
      <c r="D192" s="23" t="s">
        <v>21</v>
      </c>
      <c r="E192" s="23" t="s">
        <v>90</v>
      </c>
      <c r="F192" s="23" t="s">
        <v>88</v>
      </c>
      <c r="G192" s="23" t="str">
        <f aca="false">IFERROR(INDEX(Products!$B$2:$B$13,MATCH(F192,Products!$A$2:$A$13,0)),"Unknown")</f>
        <v>Accessories</v>
      </c>
      <c r="H192" s="23" t="n">
        <v>3</v>
      </c>
      <c r="I192" s="25" t="n">
        <f aca="false">IFERROR(INDEX(Products!$C$2:$C$13,MATCH(F192,Products!$A$2:$A$13,0)),0)</f>
        <v>85</v>
      </c>
      <c r="J192" s="25" t="n">
        <f aca="false">H192*I192</f>
        <v>255</v>
      </c>
      <c r="K192" s="25" t="n">
        <f aca="false">IFERROR(INDEX(Products!$D$2:$D$13,MATCH(F192,Products!$A$2:$A$13,0)),0)</f>
        <v>38</v>
      </c>
      <c r="L192" s="25" t="n">
        <f aca="false">H192*K192</f>
        <v>114</v>
      </c>
      <c r="M192" s="25" t="n">
        <f aca="false">J192-L192</f>
        <v>141</v>
      </c>
    </row>
    <row r="193" customFormat="false" ht="15" hidden="false" customHeight="false" outlineLevel="0" collapsed="false">
      <c r="A193" s="23" t="s">
        <v>277</v>
      </c>
      <c r="B193" s="24" t="n">
        <v>45802</v>
      </c>
      <c r="C193" s="23" t="n">
        <f aca="false">MONTH(B193)</f>
        <v>5</v>
      </c>
      <c r="D193" s="23" t="s">
        <v>19</v>
      </c>
      <c r="E193" s="23" t="s">
        <v>70</v>
      </c>
      <c r="F193" s="23" t="s">
        <v>96</v>
      </c>
      <c r="G193" s="23" t="str">
        <f aca="false">IFERROR(INDEX(Products!$B$2:$B$13,MATCH(F193,Products!$A$2:$A$13,0)),"Unknown")</f>
        <v>Tablets</v>
      </c>
      <c r="H193" s="23" t="n">
        <v>5</v>
      </c>
      <c r="I193" s="25" t="n">
        <f aca="false">IFERROR(INDEX(Products!$C$2:$C$13,MATCH(F193,Products!$A$2:$A$13,0)),0)</f>
        <v>260</v>
      </c>
      <c r="J193" s="25" t="n">
        <f aca="false">H193*I193</f>
        <v>1300</v>
      </c>
      <c r="K193" s="25" t="n">
        <f aca="false">IFERROR(INDEX(Products!$D$2:$D$13,MATCH(F193,Products!$A$2:$A$13,0)),0)</f>
        <v>180</v>
      </c>
      <c r="L193" s="25" t="n">
        <f aca="false">H193*K193</f>
        <v>900</v>
      </c>
      <c r="M193" s="25" t="n">
        <f aca="false">J193-L193</f>
        <v>400</v>
      </c>
    </row>
    <row r="194" customFormat="false" ht="15" hidden="false" customHeight="false" outlineLevel="0" collapsed="false">
      <c r="A194" s="23" t="s">
        <v>278</v>
      </c>
      <c r="B194" s="24" t="n">
        <v>45802</v>
      </c>
      <c r="C194" s="23" t="n">
        <f aca="false">MONTH(B194)</f>
        <v>5</v>
      </c>
      <c r="D194" s="23" t="s">
        <v>17</v>
      </c>
      <c r="E194" s="23" t="s">
        <v>116</v>
      </c>
      <c r="F194" s="23" t="s">
        <v>83</v>
      </c>
      <c r="G194" s="23" t="str">
        <f aca="false">IFERROR(INDEX(Products!$B$2:$B$13,MATCH(F194,Products!$A$2:$A$13,0)),"Unknown")</f>
        <v>Phones</v>
      </c>
      <c r="H194" s="23" t="n">
        <v>1</v>
      </c>
      <c r="I194" s="25" t="n">
        <f aca="false">IFERROR(INDEX(Products!$C$2:$C$13,MATCH(F194,Products!$A$2:$A$13,0)),0)</f>
        <v>640</v>
      </c>
      <c r="J194" s="25" t="n">
        <f aca="false">H194*I194</f>
        <v>640</v>
      </c>
      <c r="K194" s="25" t="n">
        <f aca="false">IFERROR(INDEX(Products!$D$2:$D$13,MATCH(F194,Products!$A$2:$A$13,0)),0)</f>
        <v>470</v>
      </c>
      <c r="L194" s="25" t="n">
        <f aca="false">H194*K194</f>
        <v>470</v>
      </c>
      <c r="M194" s="25" t="n">
        <f aca="false">J194-L194</f>
        <v>170</v>
      </c>
    </row>
    <row r="195" customFormat="false" ht="15" hidden="false" customHeight="false" outlineLevel="0" collapsed="false">
      <c r="A195" s="23" t="s">
        <v>279</v>
      </c>
      <c r="B195" s="24" t="n">
        <v>45804</v>
      </c>
      <c r="C195" s="23" t="n">
        <f aca="false">MONTH(B195)</f>
        <v>5</v>
      </c>
      <c r="D195" s="23" t="s">
        <v>17</v>
      </c>
      <c r="E195" s="23" t="s">
        <v>67</v>
      </c>
      <c r="F195" s="23" t="s">
        <v>91</v>
      </c>
      <c r="G195" s="23" t="str">
        <f aca="false">IFERROR(INDEX(Products!$B$2:$B$13,MATCH(F195,Products!$A$2:$A$13,0)),"Unknown")</f>
        <v>Tablets</v>
      </c>
      <c r="H195" s="23" t="n">
        <v>1</v>
      </c>
      <c r="I195" s="25" t="n">
        <f aca="false">IFERROR(INDEX(Products!$C$2:$C$13,MATCH(F195,Products!$A$2:$A$13,0)),0)</f>
        <v>420</v>
      </c>
      <c r="J195" s="25" t="n">
        <f aca="false">H195*I195</f>
        <v>420</v>
      </c>
      <c r="K195" s="25" t="n">
        <f aca="false">IFERROR(INDEX(Products!$D$2:$D$13,MATCH(F195,Products!$A$2:$A$13,0)),0)</f>
        <v>300</v>
      </c>
      <c r="L195" s="25" t="n">
        <f aca="false">H195*K195</f>
        <v>300</v>
      </c>
      <c r="M195" s="25" t="n">
        <f aca="false">J195-L195</f>
        <v>120</v>
      </c>
    </row>
    <row r="196" customFormat="false" ht="15" hidden="false" customHeight="false" outlineLevel="0" collapsed="false">
      <c r="A196" s="23" t="s">
        <v>280</v>
      </c>
      <c r="B196" s="24" t="n">
        <v>45804</v>
      </c>
      <c r="C196" s="23" t="n">
        <f aca="false">MONTH(B196)</f>
        <v>5</v>
      </c>
      <c r="D196" s="23" t="s">
        <v>23</v>
      </c>
      <c r="E196" s="23" t="s">
        <v>85</v>
      </c>
      <c r="F196" s="23" t="s">
        <v>98</v>
      </c>
      <c r="G196" s="23" t="str">
        <f aca="false">IFERROR(INDEX(Products!$B$2:$B$13,MATCH(F196,Products!$A$2:$A$13,0)),"Unknown")</f>
        <v>Monitors</v>
      </c>
      <c r="H196" s="23" t="n">
        <v>2</v>
      </c>
      <c r="I196" s="25" t="n">
        <f aca="false">IFERROR(INDEX(Products!$C$2:$C$13,MATCH(F196,Products!$A$2:$A$13,0)),0)</f>
        <v>480</v>
      </c>
      <c r="J196" s="25" t="n">
        <f aca="false">H196*I196</f>
        <v>960</v>
      </c>
      <c r="K196" s="25" t="n">
        <f aca="false">IFERROR(INDEX(Products!$D$2:$D$13,MATCH(F196,Products!$A$2:$A$13,0)),0)</f>
        <v>350</v>
      </c>
      <c r="L196" s="25" t="n">
        <f aca="false">H196*K196</f>
        <v>700</v>
      </c>
      <c r="M196" s="25" t="n">
        <f aca="false">J196-L196</f>
        <v>260</v>
      </c>
    </row>
    <row r="197" customFormat="false" ht="15" hidden="false" customHeight="false" outlineLevel="0" collapsed="false">
      <c r="A197" s="23" t="s">
        <v>281</v>
      </c>
      <c r="B197" s="24" t="n">
        <v>45804</v>
      </c>
      <c r="C197" s="23" t="n">
        <f aca="false">MONTH(B197)</f>
        <v>5</v>
      </c>
      <c r="D197" s="23" t="s">
        <v>23</v>
      </c>
      <c r="E197" s="23" t="s">
        <v>85</v>
      </c>
      <c r="F197" s="23" t="s">
        <v>83</v>
      </c>
      <c r="G197" s="23" t="str">
        <f aca="false">IFERROR(INDEX(Products!$B$2:$B$13,MATCH(F197,Products!$A$2:$A$13,0)),"Unknown")</f>
        <v>Phones</v>
      </c>
      <c r="H197" s="23" t="n">
        <v>1</v>
      </c>
      <c r="I197" s="25" t="n">
        <f aca="false">IFERROR(INDEX(Products!$C$2:$C$13,MATCH(F197,Products!$A$2:$A$13,0)),0)</f>
        <v>640</v>
      </c>
      <c r="J197" s="25" t="n">
        <f aca="false">H197*I197</f>
        <v>640</v>
      </c>
      <c r="K197" s="25" t="n">
        <f aca="false">IFERROR(INDEX(Products!$D$2:$D$13,MATCH(F197,Products!$A$2:$A$13,0)),0)</f>
        <v>470</v>
      </c>
      <c r="L197" s="25" t="n">
        <f aca="false">H197*K197</f>
        <v>470</v>
      </c>
      <c r="M197" s="25" t="n">
        <f aca="false">J197-L197</f>
        <v>170</v>
      </c>
    </row>
    <row r="198" customFormat="false" ht="15" hidden="false" customHeight="false" outlineLevel="0" collapsed="false">
      <c r="A198" s="23" t="s">
        <v>282</v>
      </c>
      <c r="B198" s="24" t="n">
        <v>45804</v>
      </c>
      <c r="C198" s="23" t="n">
        <f aca="false">MONTH(B198)</f>
        <v>5</v>
      </c>
      <c r="D198" s="23" t="s">
        <v>21</v>
      </c>
      <c r="E198" s="23" t="s">
        <v>87</v>
      </c>
      <c r="F198" s="23" t="s">
        <v>71</v>
      </c>
      <c r="G198" s="23" t="str">
        <f aca="false">IFERROR(INDEX(Products!$B$2:$B$13,MATCH(F198,Products!$A$2:$A$13,0)),"Unknown")</f>
        <v>Accessories</v>
      </c>
      <c r="H198" s="23" t="n">
        <v>6</v>
      </c>
      <c r="I198" s="25" t="n">
        <f aca="false">IFERROR(INDEX(Products!$C$2:$C$13,MATCH(F198,Products!$A$2:$A$13,0)),0)</f>
        <v>45</v>
      </c>
      <c r="J198" s="25" t="n">
        <f aca="false">H198*I198</f>
        <v>270</v>
      </c>
      <c r="K198" s="25" t="n">
        <f aca="false">IFERROR(INDEX(Products!$D$2:$D$13,MATCH(F198,Products!$A$2:$A$13,0)),0)</f>
        <v>18</v>
      </c>
      <c r="L198" s="25" t="n">
        <f aca="false">H198*K198</f>
        <v>108</v>
      </c>
      <c r="M198" s="25" t="n">
        <f aca="false">J198-L198</f>
        <v>162</v>
      </c>
    </row>
    <row r="199" customFormat="false" ht="15" hidden="false" customHeight="false" outlineLevel="0" collapsed="false">
      <c r="A199" s="23" t="s">
        <v>283</v>
      </c>
      <c r="B199" s="24" t="n">
        <v>45805</v>
      </c>
      <c r="C199" s="23" t="n">
        <f aca="false">MONTH(B199)</f>
        <v>5</v>
      </c>
      <c r="D199" s="23" t="s">
        <v>19</v>
      </c>
      <c r="E199" s="23" t="s">
        <v>70</v>
      </c>
      <c r="F199" s="23" t="s">
        <v>104</v>
      </c>
      <c r="G199" s="23" t="str">
        <f aca="false">IFERROR(INDEX(Products!$B$2:$B$13,MATCH(F199,Products!$A$2:$A$13,0)),"Unknown")</f>
        <v>Phones</v>
      </c>
      <c r="H199" s="23" t="n">
        <v>5</v>
      </c>
      <c r="I199" s="25" t="n">
        <f aca="false">IFERROR(INDEX(Products!$C$2:$C$13,MATCH(F199,Products!$A$2:$A$13,0)),0)</f>
        <v>290</v>
      </c>
      <c r="J199" s="25" t="n">
        <f aca="false">H199*I199</f>
        <v>1450</v>
      </c>
      <c r="K199" s="25" t="n">
        <f aca="false">IFERROR(INDEX(Products!$D$2:$D$13,MATCH(F199,Products!$A$2:$A$13,0)),0)</f>
        <v>205</v>
      </c>
      <c r="L199" s="25" t="n">
        <f aca="false">H199*K199</f>
        <v>1025</v>
      </c>
      <c r="M199" s="25" t="n">
        <f aca="false">J199-L199</f>
        <v>425</v>
      </c>
    </row>
    <row r="200" customFormat="false" ht="15" hidden="false" customHeight="false" outlineLevel="0" collapsed="false">
      <c r="A200" s="23" t="s">
        <v>284</v>
      </c>
      <c r="B200" s="24" t="n">
        <v>45805</v>
      </c>
      <c r="C200" s="23" t="n">
        <f aca="false">MONTH(B200)</f>
        <v>5</v>
      </c>
      <c r="D200" s="23" t="s">
        <v>17</v>
      </c>
      <c r="E200" s="23" t="s">
        <v>116</v>
      </c>
      <c r="F200" s="23" t="s">
        <v>88</v>
      </c>
      <c r="G200" s="23" t="str">
        <f aca="false">IFERROR(INDEX(Products!$B$2:$B$13,MATCH(F200,Products!$A$2:$A$13,0)),"Unknown")</f>
        <v>Accessories</v>
      </c>
      <c r="H200" s="23" t="n">
        <v>15</v>
      </c>
      <c r="I200" s="25" t="n">
        <f aca="false">IFERROR(INDEX(Products!$C$2:$C$13,MATCH(F200,Products!$A$2:$A$13,0)),0)</f>
        <v>85</v>
      </c>
      <c r="J200" s="25" t="n">
        <f aca="false">H200*I200</f>
        <v>1275</v>
      </c>
      <c r="K200" s="25" t="n">
        <f aca="false">IFERROR(INDEX(Products!$D$2:$D$13,MATCH(F200,Products!$A$2:$A$13,0)),0)</f>
        <v>38</v>
      </c>
      <c r="L200" s="25" t="n">
        <f aca="false">H200*K200</f>
        <v>570</v>
      </c>
      <c r="M200" s="25" t="n">
        <f aca="false">J200-L200</f>
        <v>705</v>
      </c>
    </row>
    <row r="201" customFormat="false" ht="15" hidden="false" customHeight="false" outlineLevel="0" collapsed="false">
      <c r="A201" s="23" t="s">
        <v>285</v>
      </c>
      <c r="B201" s="24" t="n">
        <v>45805</v>
      </c>
      <c r="C201" s="23" t="n">
        <f aca="false">MONTH(B201)</f>
        <v>5</v>
      </c>
      <c r="D201" s="23" t="s">
        <v>19</v>
      </c>
      <c r="E201" s="23" t="s">
        <v>70</v>
      </c>
      <c r="F201" s="23" t="s">
        <v>68</v>
      </c>
      <c r="G201" s="23" t="str">
        <f aca="false">IFERROR(INDEX(Products!$B$2:$B$13,MATCH(F201,Products!$A$2:$A$13,0)),"Unknown")</f>
        <v>Laptops</v>
      </c>
      <c r="H201" s="23" t="n">
        <v>2</v>
      </c>
      <c r="I201" s="25" t="n">
        <f aca="false">IFERROR(INDEX(Products!$C$2:$C$13,MATCH(F201,Products!$A$2:$A$13,0)),0)</f>
        <v>780</v>
      </c>
      <c r="J201" s="25" t="n">
        <f aca="false">H201*I201</f>
        <v>1560</v>
      </c>
      <c r="K201" s="25" t="n">
        <f aca="false">IFERROR(INDEX(Products!$D$2:$D$13,MATCH(F201,Products!$A$2:$A$13,0)),0)</f>
        <v>590</v>
      </c>
      <c r="L201" s="25" t="n">
        <f aca="false">H201*K201</f>
        <v>1180</v>
      </c>
      <c r="M201" s="25" t="n">
        <f aca="false">J201-L201</f>
        <v>380</v>
      </c>
    </row>
    <row r="202" customFormat="false" ht="15" hidden="false" customHeight="false" outlineLevel="0" collapsed="false">
      <c r="A202" s="23" t="s">
        <v>286</v>
      </c>
      <c r="B202" s="24" t="n">
        <v>45809</v>
      </c>
      <c r="C202" s="23" t="n">
        <f aca="false">MONTH(B202)</f>
        <v>6</v>
      </c>
      <c r="D202" s="23" t="s">
        <v>21</v>
      </c>
      <c r="E202" s="23" t="s">
        <v>90</v>
      </c>
      <c r="F202" s="23" t="s">
        <v>74</v>
      </c>
      <c r="G202" s="23" t="str">
        <f aca="false">IFERROR(INDEX(Products!$B$2:$B$13,MATCH(F202,Products!$A$2:$A$13,0)),"Unknown")</f>
        <v>Monitors</v>
      </c>
      <c r="H202" s="23" t="n">
        <v>2</v>
      </c>
      <c r="I202" s="25" t="n">
        <f aca="false">IFERROR(INDEX(Products!$C$2:$C$13,MATCH(F202,Products!$A$2:$A$13,0)),0)</f>
        <v>310</v>
      </c>
      <c r="J202" s="25" t="n">
        <f aca="false">H202*I202</f>
        <v>620</v>
      </c>
      <c r="K202" s="25" t="n">
        <f aca="false">IFERROR(INDEX(Products!$D$2:$D$13,MATCH(F202,Products!$A$2:$A$13,0)),0)</f>
        <v>225</v>
      </c>
      <c r="L202" s="25" t="n">
        <f aca="false">H202*K202</f>
        <v>450</v>
      </c>
      <c r="M202" s="25" t="n">
        <f aca="false">J202-L202</f>
        <v>170</v>
      </c>
    </row>
    <row r="203" customFormat="false" ht="15" hidden="false" customHeight="false" outlineLevel="0" collapsed="false">
      <c r="A203" s="23" t="s">
        <v>287</v>
      </c>
      <c r="B203" s="24" t="n">
        <v>45809</v>
      </c>
      <c r="C203" s="23" t="n">
        <f aca="false">MONTH(B203)</f>
        <v>6</v>
      </c>
      <c r="D203" s="23" t="s">
        <v>19</v>
      </c>
      <c r="E203" s="23" t="s">
        <v>70</v>
      </c>
      <c r="F203" s="23" t="s">
        <v>83</v>
      </c>
      <c r="G203" s="23" t="str">
        <f aca="false">IFERROR(INDEX(Products!$B$2:$B$13,MATCH(F203,Products!$A$2:$A$13,0)),"Unknown")</f>
        <v>Phones</v>
      </c>
      <c r="H203" s="23" t="n">
        <v>2</v>
      </c>
      <c r="I203" s="25" t="n">
        <f aca="false">IFERROR(INDEX(Products!$C$2:$C$13,MATCH(F203,Products!$A$2:$A$13,0)),0)</f>
        <v>640</v>
      </c>
      <c r="J203" s="25" t="n">
        <f aca="false">H203*I203</f>
        <v>1280</v>
      </c>
      <c r="K203" s="25" t="n">
        <f aca="false">IFERROR(INDEX(Products!$D$2:$D$13,MATCH(F203,Products!$A$2:$A$13,0)),0)</f>
        <v>470</v>
      </c>
      <c r="L203" s="25" t="n">
        <f aca="false">H203*K203</f>
        <v>940</v>
      </c>
      <c r="M203" s="25" t="n">
        <f aca="false">J203-L203</f>
        <v>340</v>
      </c>
    </row>
    <row r="204" customFormat="false" ht="15" hidden="false" customHeight="false" outlineLevel="0" collapsed="false">
      <c r="A204" s="23" t="s">
        <v>288</v>
      </c>
      <c r="B204" s="24" t="n">
        <v>45810</v>
      </c>
      <c r="C204" s="23" t="n">
        <f aca="false">MONTH(B204)</f>
        <v>6</v>
      </c>
      <c r="D204" s="23" t="s">
        <v>21</v>
      </c>
      <c r="E204" s="23" t="s">
        <v>90</v>
      </c>
      <c r="F204" s="23" t="s">
        <v>83</v>
      </c>
      <c r="G204" s="23" t="str">
        <f aca="false">IFERROR(INDEX(Products!$B$2:$B$13,MATCH(F204,Products!$A$2:$A$13,0)),"Unknown")</f>
        <v>Phones</v>
      </c>
      <c r="H204" s="23" t="n">
        <v>5</v>
      </c>
      <c r="I204" s="25" t="n">
        <f aca="false">IFERROR(INDEX(Products!$C$2:$C$13,MATCH(F204,Products!$A$2:$A$13,0)),0)</f>
        <v>640</v>
      </c>
      <c r="J204" s="25" t="n">
        <f aca="false">H204*I204</f>
        <v>3200</v>
      </c>
      <c r="K204" s="25" t="n">
        <f aca="false">IFERROR(INDEX(Products!$D$2:$D$13,MATCH(F204,Products!$A$2:$A$13,0)),0)</f>
        <v>470</v>
      </c>
      <c r="L204" s="25" t="n">
        <f aca="false">H204*K204</f>
        <v>2350</v>
      </c>
      <c r="M204" s="25" t="n">
        <f aca="false">J204-L204</f>
        <v>850</v>
      </c>
    </row>
    <row r="205" customFormat="false" ht="15" hidden="false" customHeight="false" outlineLevel="0" collapsed="false">
      <c r="A205" s="23" t="s">
        <v>289</v>
      </c>
      <c r="B205" s="24" t="n">
        <v>45810</v>
      </c>
      <c r="C205" s="23" t="n">
        <f aca="false">MONTH(B205)</f>
        <v>6</v>
      </c>
      <c r="D205" s="23" t="s">
        <v>23</v>
      </c>
      <c r="E205" s="23" t="s">
        <v>85</v>
      </c>
      <c r="F205" s="23" t="s">
        <v>83</v>
      </c>
      <c r="G205" s="23" t="str">
        <f aca="false">IFERROR(INDEX(Products!$B$2:$B$13,MATCH(F205,Products!$A$2:$A$13,0)),"Unknown")</f>
        <v>Phones</v>
      </c>
      <c r="H205" s="23" t="n">
        <v>1</v>
      </c>
      <c r="I205" s="25" t="n">
        <f aca="false">IFERROR(INDEX(Products!$C$2:$C$13,MATCH(F205,Products!$A$2:$A$13,0)),0)</f>
        <v>640</v>
      </c>
      <c r="J205" s="25" t="n">
        <f aca="false">H205*I205</f>
        <v>640</v>
      </c>
      <c r="K205" s="25" t="n">
        <f aca="false">IFERROR(INDEX(Products!$D$2:$D$13,MATCH(F205,Products!$A$2:$A$13,0)),0)</f>
        <v>470</v>
      </c>
      <c r="L205" s="25" t="n">
        <f aca="false">H205*K205</f>
        <v>470</v>
      </c>
      <c r="M205" s="25" t="n">
        <f aca="false">J205-L205</f>
        <v>170</v>
      </c>
    </row>
    <row r="206" customFormat="false" ht="15" hidden="false" customHeight="false" outlineLevel="0" collapsed="false">
      <c r="A206" s="23" t="s">
        <v>290</v>
      </c>
      <c r="B206" s="24" t="n">
        <v>45811</v>
      </c>
      <c r="C206" s="23" t="n">
        <f aca="false">MONTH(B206)</f>
        <v>6</v>
      </c>
      <c r="D206" s="23" t="s">
        <v>19</v>
      </c>
      <c r="E206" s="23" t="s">
        <v>73</v>
      </c>
      <c r="F206" s="23" t="s">
        <v>88</v>
      </c>
      <c r="G206" s="23" t="str">
        <f aca="false">IFERROR(INDEX(Products!$B$2:$B$13,MATCH(F206,Products!$A$2:$A$13,0)),"Unknown")</f>
        <v>Accessories</v>
      </c>
      <c r="H206" s="23" t="n">
        <v>3</v>
      </c>
      <c r="I206" s="25" t="n">
        <f aca="false">IFERROR(INDEX(Products!$C$2:$C$13,MATCH(F206,Products!$A$2:$A$13,0)),0)</f>
        <v>85</v>
      </c>
      <c r="J206" s="25" t="n">
        <f aca="false">H206*I206</f>
        <v>255</v>
      </c>
      <c r="K206" s="25" t="n">
        <f aca="false">IFERROR(INDEX(Products!$D$2:$D$13,MATCH(F206,Products!$A$2:$A$13,0)),0)</f>
        <v>38</v>
      </c>
      <c r="L206" s="25" t="n">
        <f aca="false">H206*K206</f>
        <v>114</v>
      </c>
      <c r="M206" s="25" t="n">
        <f aca="false">J206-L206</f>
        <v>141</v>
      </c>
    </row>
    <row r="207" customFormat="false" ht="15" hidden="false" customHeight="false" outlineLevel="0" collapsed="false">
      <c r="A207" s="23" t="s">
        <v>291</v>
      </c>
      <c r="B207" s="24" t="n">
        <v>45811</v>
      </c>
      <c r="C207" s="23" t="n">
        <f aca="false">MONTH(B207)</f>
        <v>6</v>
      </c>
      <c r="D207" s="23" t="s">
        <v>19</v>
      </c>
      <c r="E207" s="23" t="s">
        <v>70</v>
      </c>
      <c r="F207" s="23" t="s">
        <v>88</v>
      </c>
      <c r="G207" s="23" t="str">
        <f aca="false">IFERROR(INDEX(Products!$B$2:$B$13,MATCH(F207,Products!$A$2:$A$13,0)),"Unknown")</f>
        <v>Accessories</v>
      </c>
      <c r="H207" s="23" t="n">
        <v>6</v>
      </c>
      <c r="I207" s="25" t="n">
        <f aca="false">IFERROR(INDEX(Products!$C$2:$C$13,MATCH(F207,Products!$A$2:$A$13,0)),0)</f>
        <v>85</v>
      </c>
      <c r="J207" s="25" t="n">
        <f aca="false">H207*I207</f>
        <v>510</v>
      </c>
      <c r="K207" s="25" t="n">
        <f aca="false">IFERROR(INDEX(Products!$D$2:$D$13,MATCH(F207,Products!$A$2:$A$13,0)),0)</f>
        <v>38</v>
      </c>
      <c r="L207" s="25" t="n">
        <f aca="false">H207*K207</f>
        <v>228</v>
      </c>
      <c r="M207" s="25" t="n">
        <f aca="false">J207-L207</f>
        <v>282</v>
      </c>
    </row>
    <row r="208" customFormat="false" ht="15" hidden="false" customHeight="false" outlineLevel="0" collapsed="false">
      <c r="A208" s="23" t="s">
        <v>292</v>
      </c>
      <c r="B208" s="24" t="n">
        <v>45811</v>
      </c>
      <c r="C208" s="23" t="n">
        <f aca="false">MONTH(B208)</f>
        <v>6</v>
      </c>
      <c r="D208" s="23" t="s">
        <v>21</v>
      </c>
      <c r="E208" s="23" t="s">
        <v>90</v>
      </c>
      <c r="F208" s="23" t="s">
        <v>88</v>
      </c>
      <c r="G208" s="23" t="str">
        <f aca="false">IFERROR(INDEX(Products!$B$2:$B$13,MATCH(F208,Products!$A$2:$A$13,0)),"Unknown")</f>
        <v>Accessories</v>
      </c>
      <c r="H208" s="23" t="n">
        <v>3</v>
      </c>
      <c r="I208" s="25" t="n">
        <f aca="false">IFERROR(INDEX(Products!$C$2:$C$13,MATCH(F208,Products!$A$2:$A$13,0)),0)</f>
        <v>85</v>
      </c>
      <c r="J208" s="25" t="n">
        <f aca="false">H208*I208</f>
        <v>255</v>
      </c>
      <c r="K208" s="25" t="n">
        <f aca="false">IFERROR(INDEX(Products!$D$2:$D$13,MATCH(F208,Products!$A$2:$A$13,0)),0)</f>
        <v>38</v>
      </c>
      <c r="L208" s="25" t="n">
        <f aca="false">H208*K208</f>
        <v>114</v>
      </c>
      <c r="M208" s="25" t="n">
        <f aca="false">J208-L208</f>
        <v>141</v>
      </c>
    </row>
    <row r="209" customFormat="false" ht="15" hidden="false" customHeight="false" outlineLevel="0" collapsed="false">
      <c r="A209" s="23" t="s">
        <v>293</v>
      </c>
      <c r="B209" s="24" t="n">
        <v>45812</v>
      </c>
      <c r="C209" s="23" t="n">
        <f aca="false">MONTH(B209)</f>
        <v>6</v>
      </c>
      <c r="D209" s="23" t="s">
        <v>19</v>
      </c>
      <c r="E209" s="23" t="s">
        <v>70</v>
      </c>
      <c r="F209" s="23" t="s">
        <v>81</v>
      </c>
      <c r="G209" s="23" t="str">
        <f aca="false">IFERROR(INDEX(Products!$B$2:$B$13,MATCH(F209,Products!$A$2:$A$13,0)),"Unknown")</f>
        <v>Laptops</v>
      </c>
      <c r="H209" s="23" t="n">
        <v>1</v>
      </c>
      <c r="I209" s="25" t="n">
        <f aca="false">IFERROR(INDEX(Products!$C$2:$C$13,MATCH(F209,Products!$A$2:$A$13,0)),0)</f>
        <v>950</v>
      </c>
      <c r="J209" s="25" t="n">
        <f aca="false">H209*I209</f>
        <v>950</v>
      </c>
      <c r="K209" s="25" t="n">
        <f aca="false">IFERROR(INDEX(Products!$D$2:$D$13,MATCH(F209,Products!$A$2:$A$13,0)),0)</f>
        <v>720</v>
      </c>
      <c r="L209" s="25" t="n">
        <f aca="false">H209*K209</f>
        <v>720</v>
      </c>
      <c r="M209" s="25" t="n">
        <f aca="false">J209-L209</f>
        <v>230</v>
      </c>
    </row>
    <row r="210" customFormat="false" ht="15" hidden="false" customHeight="false" outlineLevel="0" collapsed="false">
      <c r="A210" s="23" t="s">
        <v>294</v>
      </c>
      <c r="B210" s="24" t="n">
        <v>45812</v>
      </c>
      <c r="C210" s="23" t="n">
        <f aca="false">MONTH(B210)</f>
        <v>6</v>
      </c>
      <c r="D210" s="23" t="s">
        <v>17</v>
      </c>
      <c r="E210" s="23" t="s">
        <v>67</v>
      </c>
      <c r="F210" s="23" t="s">
        <v>68</v>
      </c>
      <c r="G210" s="23" t="str">
        <f aca="false">IFERROR(INDEX(Products!$B$2:$B$13,MATCH(F210,Products!$A$2:$A$13,0)),"Unknown")</f>
        <v>Laptops</v>
      </c>
      <c r="H210" s="23" t="n">
        <v>3</v>
      </c>
      <c r="I210" s="25" t="n">
        <f aca="false">IFERROR(INDEX(Products!$C$2:$C$13,MATCH(F210,Products!$A$2:$A$13,0)),0)</f>
        <v>780</v>
      </c>
      <c r="J210" s="25" t="n">
        <f aca="false">H210*I210</f>
        <v>2340</v>
      </c>
      <c r="K210" s="25" t="n">
        <f aca="false">IFERROR(INDEX(Products!$D$2:$D$13,MATCH(F210,Products!$A$2:$A$13,0)),0)</f>
        <v>590</v>
      </c>
      <c r="L210" s="25" t="n">
        <f aca="false">H210*K210</f>
        <v>1770</v>
      </c>
      <c r="M210" s="25" t="n">
        <f aca="false">J210-L210</f>
        <v>570</v>
      </c>
    </row>
    <row r="211" customFormat="false" ht="15" hidden="false" customHeight="false" outlineLevel="0" collapsed="false">
      <c r="A211" s="23" t="s">
        <v>295</v>
      </c>
      <c r="B211" s="24" t="n">
        <v>45813</v>
      </c>
      <c r="C211" s="23" t="n">
        <f aca="false">MONTH(B211)</f>
        <v>6</v>
      </c>
      <c r="D211" s="23" t="s">
        <v>23</v>
      </c>
      <c r="E211" s="23" t="s">
        <v>85</v>
      </c>
      <c r="F211" s="23" t="s">
        <v>96</v>
      </c>
      <c r="G211" s="23" t="str">
        <f aca="false">IFERROR(INDEX(Products!$B$2:$B$13,MATCH(F211,Products!$A$2:$A$13,0)),"Unknown")</f>
        <v>Tablets</v>
      </c>
      <c r="H211" s="23" t="n">
        <v>1</v>
      </c>
      <c r="I211" s="25" t="n">
        <f aca="false">IFERROR(INDEX(Products!$C$2:$C$13,MATCH(F211,Products!$A$2:$A$13,0)),0)</f>
        <v>260</v>
      </c>
      <c r="J211" s="25" t="n">
        <f aca="false">H211*I211</f>
        <v>260</v>
      </c>
      <c r="K211" s="25" t="n">
        <f aca="false">IFERROR(INDEX(Products!$D$2:$D$13,MATCH(F211,Products!$A$2:$A$13,0)),0)</f>
        <v>180</v>
      </c>
      <c r="L211" s="25" t="n">
        <f aca="false">H211*K211</f>
        <v>180</v>
      </c>
      <c r="M211" s="25" t="n">
        <f aca="false">J211-L211</f>
        <v>80</v>
      </c>
    </row>
    <row r="212" customFormat="false" ht="15" hidden="false" customHeight="false" outlineLevel="0" collapsed="false">
      <c r="A212" s="23" t="s">
        <v>296</v>
      </c>
      <c r="B212" s="24" t="n">
        <v>45816</v>
      </c>
      <c r="C212" s="23" t="n">
        <f aca="false">MONTH(B212)</f>
        <v>6</v>
      </c>
      <c r="D212" s="23" t="s">
        <v>19</v>
      </c>
      <c r="E212" s="23" t="s">
        <v>73</v>
      </c>
      <c r="F212" s="23" t="s">
        <v>88</v>
      </c>
      <c r="G212" s="23" t="str">
        <f aca="false">IFERROR(INDEX(Products!$B$2:$B$13,MATCH(F212,Products!$A$2:$A$13,0)),"Unknown")</f>
        <v>Accessories</v>
      </c>
      <c r="H212" s="23" t="n">
        <v>3</v>
      </c>
      <c r="I212" s="25" t="n">
        <f aca="false">IFERROR(INDEX(Products!$C$2:$C$13,MATCH(F212,Products!$A$2:$A$13,0)),0)</f>
        <v>85</v>
      </c>
      <c r="J212" s="25" t="n">
        <f aca="false">H212*I212</f>
        <v>255</v>
      </c>
      <c r="K212" s="25" t="n">
        <f aca="false">IFERROR(INDEX(Products!$D$2:$D$13,MATCH(F212,Products!$A$2:$A$13,0)),0)</f>
        <v>38</v>
      </c>
      <c r="L212" s="25" t="n">
        <f aca="false">H212*K212</f>
        <v>114</v>
      </c>
      <c r="M212" s="25" t="n">
        <f aca="false">J212-L212</f>
        <v>141</v>
      </c>
    </row>
    <row r="213" customFormat="false" ht="15" hidden="false" customHeight="false" outlineLevel="0" collapsed="false">
      <c r="A213" s="23" t="s">
        <v>297</v>
      </c>
      <c r="B213" s="24" t="n">
        <v>45817</v>
      </c>
      <c r="C213" s="23" t="n">
        <f aca="false">MONTH(B213)</f>
        <v>6</v>
      </c>
      <c r="D213" s="23" t="s">
        <v>17</v>
      </c>
      <c r="E213" s="23" t="s">
        <v>116</v>
      </c>
      <c r="F213" s="23" t="s">
        <v>91</v>
      </c>
      <c r="G213" s="23" t="str">
        <f aca="false">IFERROR(INDEX(Products!$B$2:$B$13,MATCH(F213,Products!$A$2:$A$13,0)),"Unknown")</f>
        <v>Tablets</v>
      </c>
      <c r="H213" s="23" t="n">
        <v>2</v>
      </c>
      <c r="I213" s="25" t="n">
        <f aca="false">IFERROR(INDEX(Products!$C$2:$C$13,MATCH(F213,Products!$A$2:$A$13,0)),0)</f>
        <v>420</v>
      </c>
      <c r="J213" s="25" t="n">
        <f aca="false">H213*I213</f>
        <v>840</v>
      </c>
      <c r="K213" s="25" t="n">
        <f aca="false">IFERROR(INDEX(Products!$D$2:$D$13,MATCH(F213,Products!$A$2:$A$13,0)),0)</f>
        <v>300</v>
      </c>
      <c r="L213" s="25" t="n">
        <f aca="false">H213*K213</f>
        <v>600</v>
      </c>
      <c r="M213" s="25" t="n">
        <f aca="false">J213-L213</f>
        <v>240</v>
      </c>
    </row>
    <row r="214" customFormat="false" ht="15" hidden="false" customHeight="false" outlineLevel="0" collapsed="false">
      <c r="A214" s="23" t="s">
        <v>298</v>
      </c>
      <c r="B214" s="24" t="n">
        <v>45817</v>
      </c>
      <c r="C214" s="23" t="n">
        <f aca="false">MONTH(B214)</f>
        <v>6</v>
      </c>
      <c r="D214" s="23" t="s">
        <v>21</v>
      </c>
      <c r="E214" s="23" t="s">
        <v>87</v>
      </c>
      <c r="F214" s="23" t="s">
        <v>104</v>
      </c>
      <c r="G214" s="23" t="str">
        <f aca="false">IFERROR(INDEX(Products!$B$2:$B$13,MATCH(F214,Products!$A$2:$A$13,0)),"Unknown")</f>
        <v>Phones</v>
      </c>
      <c r="H214" s="23" t="n">
        <v>2</v>
      </c>
      <c r="I214" s="25" t="n">
        <f aca="false">IFERROR(INDEX(Products!$C$2:$C$13,MATCH(F214,Products!$A$2:$A$13,0)),0)</f>
        <v>290</v>
      </c>
      <c r="J214" s="25" t="n">
        <f aca="false">H214*I214</f>
        <v>580</v>
      </c>
      <c r="K214" s="25" t="n">
        <f aca="false">IFERROR(INDEX(Products!$D$2:$D$13,MATCH(F214,Products!$A$2:$A$13,0)),0)</f>
        <v>205</v>
      </c>
      <c r="L214" s="25" t="n">
        <f aca="false">H214*K214</f>
        <v>410</v>
      </c>
      <c r="M214" s="25" t="n">
        <f aca="false">J214-L214</f>
        <v>170</v>
      </c>
    </row>
    <row r="215" customFormat="false" ht="15" hidden="false" customHeight="false" outlineLevel="0" collapsed="false">
      <c r="A215" s="23" t="s">
        <v>299</v>
      </c>
      <c r="B215" s="24" t="n">
        <v>45818</v>
      </c>
      <c r="C215" s="23" t="n">
        <f aca="false">MONTH(B215)</f>
        <v>6</v>
      </c>
      <c r="D215" s="23" t="s">
        <v>21</v>
      </c>
      <c r="E215" s="23" t="s">
        <v>90</v>
      </c>
      <c r="F215" s="23" t="s">
        <v>104</v>
      </c>
      <c r="G215" s="23" t="str">
        <f aca="false">IFERROR(INDEX(Products!$B$2:$B$13,MATCH(F215,Products!$A$2:$A$13,0)),"Unknown")</f>
        <v>Phones</v>
      </c>
      <c r="H215" s="23" t="n">
        <v>2</v>
      </c>
      <c r="I215" s="25" t="n">
        <f aca="false">IFERROR(INDEX(Products!$C$2:$C$13,MATCH(F215,Products!$A$2:$A$13,0)),0)</f>
        <v>290</v>
      </c>
      <c r="J215" s="25" t="n">
        <f aca="false">H215*I215</f>
        <v>580</v>
      </c>
      <c r="K215" s="25" t="n">
        <f aca="false">IFERROR(INDEX(Products!$D$2:$D$13,MATCH(F215,Products!$A$2:$A$13,0)),0)</f>
        <v>205</v>
      </c>
      <c r="L215" s="25" t="n">
        <f aca="false">H215*K215</f>
        <v>410</v>
      </c>
      <c r="M215" s="25" t="n">
        <f aca="false">J215-L215</f>
        <v>170</v>
      </c>
    </row>
    <row r="216" customFormat="false" ht="15" hidden="false" customHeight="false" outlineLevel="0" collapsed="false">
      <c r="A216" s="23" t="s">
        <v>300</v>
      </c>
      <c r="B216" s="24" t="n">
        <v>45819</v>
      </c>
      <c r="C216" s="23" t="n">
        <f aca="false">MONTH(B216)</f>
        <v>6</v>
      </c>
      <c r="D216" s="23" t="s">
        <v>23</v>
      </c>
      <c r="E216" s="23" t="s">
        <v>85</v>
      </c>
      <c r="F216" s="23" t="s">
        <v>94</v>
      </c>
      <c r="G216" s="23" t="str">
        <f aca="false">IFERROR(INDEX(Products!$B$2:$B$13,MATCH(F216,Products!$A$2:$A$13,0)),"Unknown")</f>
        <v>Laptops</v>
      </c>
      <c r="H216" s="23" t="n">
        <v>1</v>
      </c>
      <c r="I216" s="25" t="n">
        <f aca="false">IFERROR(INDEX(Products!$C$2:$C$13,MATCH(F216,Products!$A$2:$A$13,0)),0)</f>
        <v>1350</v>
      </c>
      <c r="J216" s="25" t="n">
        <f aca="false">H216*I216</f>
        <v>1350</v>
      </c>
      <c r="K216" s="25" t="n">
        <f aca="false">IFERROR(INDEX(Products!$D$2:$D$13,MATCH(F216,Products!$A$2:$A$13,0)),0)</f>
        <v>1040</v>
      </c>
      <c r="L216" s="25" t="n">
        <f aca="false">H216*K216</f>
        <v>1040</v>
      </c>
      <c r="M216" s="25" t="n">
        <f aca="false">J216-L216</f>
        <v>310</v>
      </c>
    </row>
    <row r="217" customFormat="false" ht="15" hidden="false" customHeight="false" outlineLevel="0" collapsed="false">
      <c r="A217" s="23" t="s">
        <v>301</v>
      </c>
      <c r="B217" s="24" t="n">
        <v>45822</v>
      </c>
      <c r="C217" s="23" t="n">
        <f aca="false">MONTH(B217)</f>
        <v>6</v>
      </c>
      <c r="D217" s="23" t="s">
        <v>17</v>
      </c>
      <c r="E217" s="23" t="s">
        <v>116</v>
      </c>
      <c r="F217" s="23" t="s">
        <v>71</v>
      </c>
      <c r="G217" s="23" t="str">
        <f aca="false">IFERROR(INDEX(Products!$B$2:$B$13,MATCH(F217,Products!$A$2:$A$13,0)),"Unknown")</f>
        <v>Accessories</v>
      </c>
      <c r="H217" s="23" t="n">
        <v>12</v>
      </c>
      <c r="I217" s="25" t="n">
        <f aca="false">IFERROR(INDEX(Products!$C$2:$C$13,MATCH(F217,Products!$A$2:$A$13,0)),0)</f>
        <v>45</v>
      </c>
      <c r="J217" s="25" t="n">
        <f aca="false">H217*I217</f>
        <v>540</v>
      </c>
      <c r="K217" s="25" t="n">
        <f aca="false">IFERROR(INDEX(Products!$D$2:$D$13,MATCH(F217,Products!$A$2:$A$13,0)),0)</f>
        <v>18</v>
      </c>
      <c r="L217" s="25" t="n">
        <f aca="false">H217*K217</f>
        <v>216</v>
      </c>
      <c r="M217" s="25" t="n">
        <f aca="false">J217-L217</f>
        <v>324</v>
      </c>
    </row>
    <row r="218" customFormat="false" ht="15" hidden="false" customHeight="false" outlineLevel="0" collapsed="false">
      <c r="A218" s="23" t="s">
        <v>302</v>
      </c>
      <c r="B218" s="24" t="n">
        <v>45822</v>
      </c>
      <c r="C218" s="23" t="n">
        <f aca="false">MONTH(B218)</f>
        <v>6</v>
      </c>
      <c r="D218" s="23" t="s">
        <v>17</v>
      </c>
      <c r="E218" s="23" t="s">
        <v>67</v>
      </c>
      <c r="F218" s="23" t="s">
        <v>96</v>
      </c>
      <c r="G218" s="23" t="str">
        <f aca="false">IFERROR(INDEX(Products!$B$2:$B$13,MATCH(F218,Products!$A$2:$A$13,0)),"Unknown")</f>
        <v>Tablets</v>
      </c>
      <c r="H218" s="23" t="n">
        <v>5</v>
      </c>
      <c r="I218" s="25" t="n">
        <f aca="false">IFERROR(INDEX(Products!$C$2:$C$13,MATCH(F218,Products!$A$2:$A$13,0)),0)</f>
        <v>260</v>
      </c>
      <c r="J218" s="25" t="n">
        <f aca="false">H218*I218</f>
        <v>1300</v>
      </c>
      <c r="K218" s="25" t="n">
        <f aca="false">IFERROR(INDEX(Products!$D$2:$D$13,MATCH(F218,Products!$A$2:$A$13,0)),0)</f>
        <v>180</v>
      </c>
      <c r="L218" s="25" t="n">
        <f aca="false">H218*K218</f>
        <v>900</v>
      </c>
      <c r="M218" s="25" t="n">
        <f aca="false">J218-L218</f>
        <v>400</v>
      </c>
    </row>
    <row r="219" customFormat="false" ht="15" hidden="false" customHeight="false" outlineLevel="0" collapsed="false">
      <c r="A219" s="23" t="s">
        <v>303</v>
      </c>
      <c r="B219" s="24" t="n">
        <v>45822</v>
      </c>
      <c r="C219" s="23" t="n">
        <f aca="false">MONTH(B219)</f>
        <v>6</v>
      </c>
      <c r="D219" s="23" t="s">
        <v>23</v>
      </c>
      <c r="E219" s="23" t="s">
        <v>85</v>
      </c>
      <c r="F219" s="23" t="s">
        <v>71</v>
      </c>
      <c r="G219" s="23" t="str">
        <f aca="false">IFERROR(INDEX(Products!$B$2:$B$13,MATCH(F219,Products!$A$2:$A$13,0)),"Unknown")</f>
        <v>Accessories</v>
      </c>
      <c r="H219" s="23" t="n">
        <v>12</v>
      </c>
      <c r="I219" s="25" t="n">
        <f aca="false">IFERROR(INDEX(Products!$C$2:$C$13,MATCH(F219,Products!$A$2:$A$13,0)),0)</f>
        <v>45</v>
      </c>
      <c r="J219" s="25" t="n">
        <f aca="false">H219*I219</f>
        <v>540</v>
      </c>
      <c r="K219" s="25" t="n">
        <f aca="false">IFERROR(INDEX(Products!$D$2:$D$13,MATCH(F219,Products!$A$2:$A$13,0)),0)</f>
        <v>18</v>
      </c>
      <c r="L219" s="25" t="n">
        <f aca="false">H219*K219</f>
        <v>216</v>
      </c>
      <c r="M219" s="25" t="n">
        <f aca="false">J219-L219</f>
        <v>324</v>
      </c>
    </row>
    <row r="220" customFormat="false" ht="15" hidden="false" customHeight="false" outlineLevel="0" collapsed="false">
      <c r="A220" s="23" t="s">
        <v>304</v>
      </c>
      <c r="B220" s="24" t="n">
        <v>45822</v>
      </c>
      <c r="C220" s="23" t="n">
        <f aca="false">MONTH(B220)</f>
        <v>6</v>
      </c>
      <c r="D220" s="23" t="s">
        <v>21</v>
      </c>
      <c r="E220" s="23" t="s">
        <v>90</v>
      </c>
      <c r="F220" s="23" t="s">
        <v>88</v>
      </c>
      <c r="G220" s="23" t="str">
        <f aca="false">IFERROR(INDEX(Products!$B$2:$B$13,MATCH(F220,Products!$A$2:$A$13,0)),"Unknown")</f>
        <v>Accessories</v>
      </c>
      <c r="H220" s="23" t="n">
        <v>9</v>
      </c>
      <c r="I220" s="25" t="n">
        <f aca="false">IFERROR(INDEX(Products!$C$2:$C$13,MATCH(F220,Products!$A$2:$A$13,0)),0)</f>
        <v>85</v>
      </c>
      <c r="J220" s="25" t="n">
        <f aca="false">H220*I220</f>
        <v>765</v>
      </c>
      <c r="K220" s="25" t="n">
        <f aca="false">IFERROR(INDEX(Products!$D$2:$D$13,MATCH(F220,Products!$A$2:$A$13,0)),0)</f>
        <v>38</v>
      </c>
      <c r="L220" s="25" t="n">
        <f aca="false">H220*K220</f>
        <v>342</v>
      </c>
      <c r="M220" s="25" t="n">
        <f aca="false">J220-L220</f>
        <v>423</v>
      </c>
    </row>
    <row r="221" customFormat="false" ht="15" hidden="false" customHeight="false" outlineLevel="0" collapsed="false">
      <c r="A221" s="23" t="s">
        <v>305</v>
      </c>
      <c r="B221" s="24" t="n">
        <v>45822</v>
      </c>
      <c r="C221" s="23" t="n">
        <f aca="false">MONTH(B221)</f>
        <v>6</v>
      </c>
      <c r="D221" s="23" t="s">
        <v>17</v>
      </c>
      <c r="E221" s="23" t="s">
        <v>67</v>
      </c>
      <c r="F221" s="23" t="s">
        <v>79</v>
      </c>
      <c r="G221" s="23" t="str">
        <f aca="false">IFERROR(INDEX(Products!$B$2:$B$13,MATCH(F221,Products!$A$2:$A$13,0)),"Unknown")</f>
        <v>Accessories</v>
      </c>
      <c r="H221" s="23" t="n">
        <v>9</v>
      </c>
      <c r="I221" s="25" t="n">
        <f aca="false">IFERROR(INDEX(Products!$C$2:$C$13,MATCH(F221,Products!$A$2:$A$13,0)),0)</f>
        <v>190</v>
      </c>
      <c r="J221" s="25" t="n">
        <f aca="false">H221*I221</f>
        <v>1710</v>
      </c>
      <c r="K221" s="25" t="n">
        <f aca="false">IFERROR(INDEX(Products!$D$2:$D$13,MATCH(F221,Products!$A$2:$A$13,0)),0)</f>
        <v>115</v>
      </c>
      <c r="L221" s="25" t="n">
        <f aca="false">H221*K221</f>
        <v>1035</v>
      </c>
      <c r="M221" s="25" t="n">
        <f aca="false">J221-L221</f>
        <v>675</v>
      </c>
    </row>
    <row r="222" customFormat="false" ht="15" hidden="false" customHeight="false" outlineLevel="0" collapsed="false">
      <c r="A222" s="23" t="s">
        <v>306</v>
      </c>
      <c r="B222" s="24" t="n">
        <v>45822</v>
      </c>
      <c r="C222" s="23" t="n">
        <f aca="false">MONTH(B222)</f>
        <v>6</v>
      </c>
      <c r="D222" s="23" t="s">
        <v>21</v>
      </c>
      <c r="E222" s="23" t="s">
        <v>90</v>
      </c>
      <c r="F222" s="23" t="s">
        <v>71</v>
      </c>
      <c r="G222" s="23" t="str">
        <f aca="false">IFERROR(INDEX(Products!$B$2:$B$13,MATCH(F222,Products!$A$2:$A$13,0)),"Unknown")</f>
        <v>Accessories</v>
      </c>
      <c r="H222" s="23" t="n">
        <v>12</v>
      </c>
      <c r="I222" s="25" t="n">
        <f aca="false">IFERROR(INDEX(Products!$C$2:$C$13,MATCH(F222,Products!$A$2:$A$13,0)),0)</f>
        <v>45</v>
      </c>
      <c r="J222" s="25" t="n">
        <f aca="false">H222*I222</f>
        <v>540</v>
      </c>
      <c r="K222" s="25" t="n">
        <f aca="false">IFERROR(INDEX(Products!$D$2:$D$13,MATCH(F222,Products!$A$2:$A$13,0)),0)</f>
        <v>18</v>
      </c>
      <c r="L222" s="25" t="n">
        <f aca="false">H222*K222</f>
        <v>216</v>
      </c>
      <c r="M222" s="25" t="n">
        <f aca="false">J222-L222</f>
        <v>324</v>
      </c>
    </row>
    <row r="223" customFormat="false" ht="15" hidden="false" customHeight="false" outlineLevel="0" collapsed="false">
      <c r="A223" s="23" t="s">
        <v>307</v>
      </c>
      <c r="B223" s="24" t="n">
        <v>45823</v>
      </c>
      <c r="C223" s="23" t="n">
        <f aca="false">MONTH(B223)</f>
        <v>6</v>
      </c>
      <c r="D223" s="23" t="s">
        <v>17</v>
      </c>
      <c r="E223" s="23" t="s">
        <v>116</v>
      </c>
      <c r="F223" s="23" t="s">
        <v>68</v>
      </c>
      <c r="G223" s="23" t="str">
        <f aca="false">IFERROR(INDEX(Products!$B$2:$B$13,MATCH(F223,Products!$A$2:$A$13,0)),"Unknown")</f>
        <v>Laptops</v>
      </c>
      <c r="H223" s="23" t="n">
        <v>2</v>
      </c>
      <c r="I223" s="25" t="n">
        <f aca="false">IFERROR(INDEX(Products!$C$2:$C$13,MATCH(F223,Products!$A$2:$A$13,0)),0)</f>
        <v>780</v>
      </c>
      <c r="J223" s="25" t="n">
        <f aca="false">H223*I223</f>
        <v>1560</v>
      </c>
      <c r="K223" s="25" t="n">
        <f aca="false">IFERROR(INDEX(Products!$D$2:$D$13,MATCH(F223,Products!$A$2:$A$13,0)),0)</f>
        <v>590</v>
      </c>
      <c r="L223" s="25" t="n">
        <f aca="false">H223*K223</f>
        <v>1180</v>
      </c>
      <c r="M223" s="25" t="n">
        <f aca="false">J223-L223</f>
        <v>380</v>
      </c>
    </row>
    <row r="224" customFormat="false" ht="15" hidden="false" customHeight="false" outlineLevel="0" collapsed="false">
      <c r="A224" s="23" t="s">
        <v>308</v>
      </c>
      <c r="B224" s="24" t="n">
        <v>45823</v>
      </c>
      <c r="C224" s="23" t="n">
        <f aca="false">MONTH(B224)</f>
        <v>6</v>
      </c>
      <c r="D224" s="23" t="s">
        <v>21</v>
      </c>
      <c r="E224" s="23" t="s">
        <v>90</v>
      </c>
      <c r="F224" s="23" t="s">
        <v>88</v>
      </c>
      <c r="G224" s="23" t="str">
        <f aca="false">IFERROR(INDEX(Products!$B$2:$B$13,MATCH(F224,Products!$A$2:$A$13,0)),"Unknown")</f>
        <v>Accessories</v>
      </c>
      <c r="H224" s="23" t="n">
        <v>12</v>
      </c>
      <c r="I224" s="25" t="n">
        <f aca="false">IFERROR(INDEX(Products!$C$2:$C$13,MATCH(F224,Products!$A$2:$A$13,0)),0)</f>
        <v>85</v>
      </c>
      <c r="J224" s="25" t="n">
        <f aca="false">H224*I224</f>
        <v>1020</v>
      </c>
      <c r="K224" s="25" t="n">
        <f aca="false">IFERROR(INDEX(Products!$D$2:$D$13,MATCH(F224,Products!$A$2:$A$13,0)),0)</f>
        <v>38</v>
      </c>
      <c r="L224" s="25" t="n">
        <f aca="false">H224*K224</f>
        <v>456</v>
      </c>
      <c r="M224" s="25" t="n">
        <f aca="false">J224-L224</f>
        <v>564</v>
      </c>
    </row>
    <row r="225" customFormat="false" ht="15" hidden="false" customHeight="false" outlineLevel="0" collapsed="false">
      <c r="A225" s="23" t="s">
        <v>309</v>
      </c>
      <c r="B225" s="24" t="n">
        <v>45823</v>
      </c>
      <c r="C225" s="23" t="n">
        <f aca="false">MONTH(B225)</f>
        <v>6</v>
      </c>
      <c r="D225" s="23" t="s">
        <v>21</v>
      </c>
      <c r="E225" s="23" t="s">
        <v>87</v>
      </c>
      <c r="F225" s="23" t="s">
        <v>96</v>
      </c>
      <c r="G225" s="23" t="str">
        <f aca="false">IFERROR(INDEX(Products!$B$2:$B$13,MATCH(F225,Products!$A$2:$A$13,0)),"Unknown")</f>
        <v>Tablets</v>
      </c>
      <c r="H225" s="23" t="n">
        <v>1</v>
      </c>
      <c r="I225" s="25" t="n">
        <f aca="false">IFERROR(INDEX(Products!$C$2:$C$13,MATCH(F225,Products!$A$2:$A$13,0)),0)</f>
        <v>260</v>
      </c>
      <c r="J225" s="25" t="n">
        <f aca="false">H225*I225</f>
        <v>260</v>
      </c>
      <c r="K225" s="25" t="n">
        <f aca="false">IFERROR(INDEX(Products!$D$2:$D$13,MATCH(F225,Products!$A$2:$A$13,0)),0)</f>
        <v>180</v>
      </c>
      <c r="L225" s="25" t="n">
        <f aca="false">H225*K225</f>
        <v>180</v>
      </c>
      <c r="M225" s="25" t="n">
        <f aca="false">J225-L225</f>
        <v>80</v>
      </c>
    </row>
    <row r="226" customFormat="false" ht="15" hidden="false" customHeight="false" outlineLevel="0" collapsed="false">
      <c r="A226" s="23" t="s">
        <v>310</v>
      </c>
      <c r="B226" s="24" t="n">
        <v>45823</v>
      </c>
      <c r="C226" s="23" t="n">
        <f aca="false">MONTH(B226)</f>
        <v>6</v>
      </c>
      <c r="D226" s="23" t="s">
        <v>17</v>
      </c>
      <c r="E226" s="23" t="s">
        <v>116</v>
      </c>
      <c r="F226" s="23" t="s">
        <v>81</v>
      </c>
      <c r="G226" s="23" t="str">
        <f aca="false">IFERROR(INDEX(Products!$B$2:$B$13,MATCH(F226,Products!$A$2:$A$13,0)),"Unknown")</f>
        <v>Laptops</v>
      </c>
      <c r="H226" s="23" t="n">
        <v>5</v>
      </c>
      <c r="I226" s="25" t="n">
        <f aca="false">IFERROR(INDEX(Products!$C$2:$C$13,MATCH(F226,Products!$A$2:$A$13,0)),0)</f>
        <v>950</v>
      </c>
      <c r="J226" s="25" t="n">
        <f aca="false">H226*I226</f>
        <v>4750</v>
      </c>
      <c r="K226" s="25" t="n">
        <f aca="false">IFERROR(INDEX(Products!$D$2:$D$13,MATCH(F226,Products!$A$2:$A$13,0)),0)</f>
        <v>720</v>
      </c>
      <c r="L226" s="25" t="n">
        <f aca="false">H226*K226</f>
        <v>3600</v>
      </c>
      <c r="M226" s="25" t="n">
        <f aca="false">J226-L226</f>
        <v>1150</v>
      </c>
    </row>
    <row r="227" customFormat="false" ht="15" hidden="false" customHeight="false" outlineLevel="0" collapsed="false">
      <c r="A227" s="23" t="s">
        <v>311</v>
      </c>
      <c r="B227" s="24" t="n">
        <v>45824</v>
      </c>
      <c r="C227" s="23" t="n">
        <f aca="false">MONTH(B227)</f>
        <v>6</v>
      </c>
      <c r="D227" s="23" t="s">
        <v>17</v>
      </c>
      <c r="E227" s="23" t="s">
        <v>116</v>
      </c>
      <c r="F227" s="23" t="s">
        <v>68</v>
      </c>
      <c r="G227" s="23" t="str">
        <f aca="false">IFERROR(INDEX(Products!$B$2:$B$13,MATCH(F227,Products!$A$2:$A$13,0)),"Unknown")</f>
        <v>Laptops</v>
      </c>
      <c r="H227" s="23" t="n">
        <v>1</v>
      </c>
      <c r="I227" s="25" t="n">
        <f aca="false">IFERROR(INDEX(Products!$C$2:$C$13,MATCH(F227,Products!$A$2:$A$13,0)),0)</f>
        <v>780</v>
      </c>
      <c r="J227" s="25" t="n">
        <f aca="false">H227*I227</f>
        <v>780</v>
      </c>
      <c r="K227" s="25" t="n">
        <f aca="false">IFERROR(INDEX(Products!$D$2:$D$13,MATCH(F227,Products!$A$2:$A$13,0)),0)</f>
        <v>590</v>
      </c>
      <c r="L227" s="25" t="n">
        <f aca="false">H227*K227</f>
        <v>590</v>
      </c>
      <c r="M227" s="25" t="n">
        <f aca="false">J227-L227</f>
        <v>190</v>
      </c>
    </row>
    <row r="228" customFormat="false" ht="15" hidden="false" customHeight="false" outlineLevel="0" collapsed="false">
      <c r="A228" s="23" t="s">
        <v>312</v>
      </c>
      <c r="B228" s="24" t="n">
        <v>45825</v>
      </c>
      <c r="C228" s="23" t="n">
        <f aca="false">MONTH(B228)</f>
        <v>6</v>
      </c>
      <c r="D228" s="23" t="s">
        <v>21</v>
      </c>
      <c r="E228" s="23" t="s">
        <v>87</v>
      </c>
      <c r="F228" s="23" t="s">
        <v>71</v>
      </c>
      <c r="G228" s="23" t="str">
        <f aca="false">IFERROR(INDEX(Products!$B$2:$B$13,MATCH(F228,Products!$A$2:$A$13,0)),"Unknown")</f>
        <v>Accessories</v>
      </c>
      <c r="H228" s="23" t="n">
        <v>6</v>
      </c>
      <c r="I228" s="25" t="n">
        <f aca="false">IFERROR(INDEX(Products!$C$2:$C$13,MATCH(F228,Products!$A$2:$A$13,0)),0)</f>
        <v>45</v>
      </c>
      <c r="J228" s="25" t="n">
        <f aca="false">H228*I228</f>
        <v>270</v>
      </c>
      <c r="K228" s="25" t="n">
        <f aca="false">IFERROR(INDEX(Products!$D$2:$D$13,MATCH(F228,Products!$A$2:$A$13,0)),0)</f>
        <v>18</v>
      </c>
      <c r="L228" s="25" t="n">
        <f aca="false">H228*K228</f>
        <v>108</v>
      </c>
      <c r="M228" s="25" t="n">
        <f aca="false">J228-L228</f>
        <v>162</v>
      </c>
    </row>
    <row r="229" customFormat="false" ht="15" hidden="false" customHeight="false" outlineLevel="0" collapsed="false">
      <c r="A229" s="23" t="s">
        <v>313</v>
      </c>
      <c r="B229" s="24" t="n">
        <v>45825</v>
      </c>
      <c r="C229" s="23" t="n">
        <f aca="false">MONTH(B229)</f>
        <v>6</v>
      </c>
      <c r="D229" s="23" t="s">
        <v>19</v>
      </c>
      <c r="E229" s="23" t="s">
        <v>70</v>
      </c>
      <c r="F229" s="23" t="s">
        <v>74</v>
      </c>
      <c r="G229" s="23" t="str">
        <f aca="false">IFERROR(INDEX(Products!$B$2:$B$13,MATCH(F229,Products!$A$2:$A$13,0)),"Unknown")</f>
        <v>Monitors</v>
      </c>
      <c r="H229" s="23" t="n">
        <v>1</v>
      </c>
      <c r="I229" s="25" t="n">
        <f aca="false">IFERROR(INDEX(Products!$C$2:$C$13,MATCH(F229,Products!$A$2:$A$13,0)),0)</f>
        <v>310</v>
      </c>
      <c r="J229" s="25" t="n">
        <f aca="false">H229*I229</f>
        <v>310</v>
      </c>
      <c r="K229" s="25" t="n">
        <f aca="false">IFERROR(INDEX(Products!$D$2:$D$13,MATCH(F229,Products!$A$2:$A$13,0)),0)</f>
        <v>225</v>
      </c>
      <c r="L229" s="25" t="n">
        <f aca="false">H229*K229</f>
        <v>225</v>
      </c>
      <c r="M229" s="25" t="n">
        <f aca="false">J229-L229</f>
        <v>85</v>
      </c>
    </row>
    <row r="230" customFormat="false" ht="15" hidden="false" customHeight="false" outlineLevel="0" collapsed="false">
      <c r="A230" s="23" t="s">
        <v>314</v>
      </c>
      <c r="B230" s="24" t="n">
        <v>45825</v>
      </c>
      <c r="C230" s="23" t="n">
        <f aca="false">MONTH(B230)</f>
        <v>6</v>
      </c>
      <c r="D230" s="23" t="s">
        <v>23</v>
      </c>
      <c r="E230" s="23" t="s">
        <v>77</v>
      </c>
      <c r="F230" s="23" t="s">
        <v>68</v>
      </c>
      <c r="G230" s="23" t="str">
        <f aca="false">IFERROR(INDEX(Products!$B$2:$B$13,MATCH(F230,Products!$A$2:$A$13,0)),"Unknown")</f>
        <v>Laptops</v>
      </c>
      <c r="H230" s="23" t="n">
        <v>1</v>
      </c>
      <c r="I230" s="25" t="n">
        <f aca="false">IFERROR(INDEX(Products!$C$2:$C$13,MATCH(F230,Products!$A$2:$A$13,0)),0)</f>
        <v>780</v>
      </c>
      <c r="J230" s="25" t="n">
        <f aca="false">H230*I230</f>
        <v>780</v>
      </c>
      <c r="K230" s="25" t="n">
        <f aca="false">IFERROR(INDEX(Products!$D$2:$D$13,MATCH(F230,Products!$A$2:$A$13,0)),0)</f>
        <v>590</v>
      </c>
      <c r="L230" s="25" t="n">
        <f aca="false">H230*K230</f>
        <v>590</v>
      </c>
      <c r="M230" s="25" t="n">
        <f aca="false">J230-L230</f>
        <v>190</v>
      </c>
    </row>
    <row r="231" customFormat="false" ht="15" hidden="false" customHeight="false" outlineLevel="0" collapsed="false">
      <c r="A231" s="23" t="s">
        <v>315</v>
      </c>
      <c r="B231" s="24" t="n">
        <v>45826</v>
      </c>
      <c r="C231" s="23" t="n">
        <f aca="false">MONTH(B231)</f>
        <v>6</v>
      </c>
      <c r="D231" s="23" t="s">
        <v>17</v>
      </c>
      <c r="E231" s="23" t="s">
        <v>67</v>
      </c>
      <c r="F231" s="23" t="s">
        <v>88</v>
      </c>
      <c r="G231" s="23" t="str">
        <f aca="false">IFERROR(INDEX(Products!$B$2:$B$13,MATCH(F231,Products!$A$2:$A$13,0)),"Unknown")</f>
        <v>Accessories</v>
      </c>
      <c r="H231" s="23" t="n">
        <v>9</v>
      </c>
      <c r="I231" s="25" t="n">
        <f aca="false">IFERROR(INDEX(Products!$C$2:$C$13,MATCH(F231,Products!$A$2:$A$13,0)),0)</f>
        <v>85</v>
      </c>
      <c r="J231" s="25" t="n">
        <f aca="false">H231*I231</f>
        <v>765</v>
      </c>
      <c r="K231" s="25" t="n">
        <f aca="false">IFERROR(INDEX(Products!$D$2:$D$13,MATCH(F231,Products!$A$2:$A$13,0)),0)</f>
        <v>38</v>
      </c>
      <c r="L231" s="25" t="n">
        <f aca="false">H231*K231</f>
        <v>342</v>
      </c>
      <c r="M231" s="25" t="n">
        <f aca="false">J231-L231</f>
        <v>423</v>
      </c>
    </row>
    <row r="232" customFormat="false" ht="15" hidden="false" customHeight="false" outlineLevel="0" collapsed="false">
      <c r="A232" s="23" t="s">
        <v>316</v>
      </c>
      <c r="B232" s="24" t="n">
        <v>45827</v>
      </c>
      <c r="C232" s="23" t="n">
        <f aca="false">MONTH(B232)</f>
        <v>6</v>
      </c>
      <c r="D232" s="23" t="s">
        <v>21</v>
      </c>
      <c r="E232" s="23" t="s">
        <v>87</v>
      </c>
      <c r="F232" s="23" t="s">
        <v>79</v>
      </c>
      <c r="G232" s="23" t="str">
        <f aca="false">IFERROR(INDEX(Products!$B$2:$B$13,MATCH(F232,Products!$A$2:$A$13,0)),"Unknown")</f>
        <v>Accessories</v>
      </c>
      <c r="H232" s="23" t="n">
        <v>3</v>
      </c>
      <c r="I232" s="25" t="n">
        <f aca="false">IFERROR(INDEX(Products!$C$2:$C$13,MATCH(F232,Products!$A$2:$A$13,0)),0)</f>
        <v>190</v>
      </c>
      <c r="J232" s="25" t="n">
        <f aca="false">H232*I232</f>
        <v>570</v>
      </c>
      <c r="K232" s="25" t="n">
        <f aca="false">IFERROR(INDEX(Products!$D$2:$D$13,MATCH(F232,Products!$A$2:$A$13,0)),0)</f>
        <v>115</v>
      </c>
      <c r="L232" s="25" t="n">
        <f aca="false">H232*K232</f>
        <v>345</v>
      </c>
      <c r="M232" s="25" t="n">
        <f aca="false">J232-L232</f>
        <v>225</v>
      </c>
    </row>
    <row r="233" customFormat="false" ht="15" hidden="false" customHeight="false" outlineLevel="0" collapsed="false">
      <c r="A233" s="23" t="s">
        <v>317</v>
      </c>
      <c r="B233" s="24" t="n">
        <v>45827</v>
      </c>
      <c r="C233" s="23" t="n">
        <f aca="false">MONTH(B233)</f>
        <v>6</v>
      </c>
      <c r="D233" s="23" t="s">
        <v>21</v>
      </c>
      <c r="E233" s="23" t="s">
        <v>90</v>
      </c>
      <c r="F233" s="23" t="s">
        <v>81</v>
      </c>
      <c r="G233" s="23" t="str">
        <f aca="false">IFERROR(INDEX(Products!$B$2:$B$13,MATCH(F233,Products!$A$2:$A$13,0)),"Unknown")</f>
        <v>Laptops</v>
      </c>
      <c r="H233" s="23" t="n">
        <v>2</v>
      </c>
      <c r="I233" s="25" t="n">
        <f aca="false">IFERROR(INDEX(Products!$C$2:$C$13,MATCH(F233,Products!$A$2:$A$13,0)),0)</f>
        <v>950</v>
      </c>
      <c r="J233" s="25" t="n">
        <f aca="false">H233*I233</f>
        <v>1900</v>
      </c>
      <c r="K233" s="25" t="n">
        <f aca="false">IFERROR(INDEX(Products!$D$2:$D$13,MATCH(F233,Products!$A$2:$A$13,0)),0)</f>
        <v>720</v>
      </c>
      <c r="L233" s="25" t="n">
        <f aca="false">H233*K233</f>
        <v>1440</v>
      </c>
      <c r="M233" s="25" t="n">
        <f aca="false">J233-L233</f>
        <v>460</v>
      </c>
    </row>
    <row r="234" customFormat="false" ht="15" hidden="false" customHeight="false" outlineLevel="0" collapsed="false">
      <c r="A234" s="23" t="s">
        <v>318</v>
      </c>
      <c r="B234" s="24" t="n">
        <v>45829</v>
      </c>
      <c r="C234" s="23" t="n">
        <f aca="false">MONTH(B234)</f>
        <v>6</v>
      </c>
      <c r="D234" s="23" t="s">
        <v>17</v>
      </c>
      <c r="E234" s="23" t="s">
        <v>67</v>
      </c>
      <c r="F234" s="23" t="s">
        <v>104</v>
      </c>
      <c r="G234" s="23" t="str">
        <f aca="false">IFERROR(INDEX(Products!$B$2:$B$13,MATCH(F234,Products!$A$2:$A$13,0)),"Unknown")</f>
        <v>Phones</v>
      </c>
      <c r="H234" s="23" t="n">
        <v>5</v>
      </c>
      <c r="I234" s="25" t="n">
        <f aca="false">IFERROR(INDEX(Products!$C$2:$C$13,MATCH(F234,Products!$A$2:$A$13,0)),0)</f>
        <v>290</v>
      </c>
      <c r="J234" s="25" t="n">
        <f aca="false">H234*I234</f>
        <v>1450</v>
      </c>
      <c r="K234" s="25" t="n">
        <f aca="false">IFERROR(INDEX(Products!$D$2:$D$13,MATCH(F234,Products!$A$2:$A$13,0)),0)</f>
        <v>205</v>
      </c>
      <c r="L234" s="25" t="n">
        <f aca="false">H234*K234</f>
        <v>1025</v>
      </c>
      <c r="M234" s="25" t="n">
        <f aca="false">J234-L234</f>
        <v>425</v>
      </c>
    </row>
    <row r="235" customFormat="false" ht="15" hidden="false" customHeight="false" outlineLevel="0" collapsed="false">
      <c r="A235" s="23" t="s">
        <v>319</v>
      </c>
      <c r="B235" s="24" t="n">
        <v>45829</v>
      </c>
      <c r="C235" s="23" t="n">
        <f aca="false">MONTH(B235)</f>
        <v>6</v>
      </c>
      <c r="D235" s="23" t="s">
        <v>23</v>
      </c>
      <c r="E235" s="23" t="s">
        <v>85</v>
      </c>
      <c r="F235" s="23" t="s">
        <v>74</v>
      </c>
      <c r="G235" s="23" t="str">
        <f aca="false">IFERROR(INDEX(Products!$B$2:$B$13,MATCH(F235,Products!$A$2:$A$13,0)),"Unknown")</f>
        <v>Monitors</v>
      </c>
      <c r="H235" s="23" t="n">
        <v>2</v>
      </c>
      <c r="I235" s="25" t="n">
        <f aca="false">IFERROR(INDEX(Products!$C$2:$C$13,MATCH(F235,Products!$A$2:$A$13,0)),0)</f>
        <v>310</v>
      </c>
      <c r="J235" s="25" t="n">
        <f aca="false">H235*I235</f>
        <v>620</v>
      </c>
      <c r="K235" s="25" t="n">
        <f aca="false">IFERROR(INDEX(Products!$D$2:$D$13,MATCH(F235,Products!$A$2:$A$13,0)),0)</f>
        <v>225</v>
      </c>
      <c r="L235" s="25" t="n">
        <f aca="false">H235*K235</f>
        <v>450</v>
      </c>
      <c r="M235" s="25" t="n">
        <f aca="false">J235-L235</f>
        <v>170</v>
      </c>
    </row>
    <row r="236" customFormat="false" ht="15" hidden="false" customHeight="false" outlineLevel="0" collapsed="false">
      <c r="A236" s="23" t="s">
        <v>320</v>
      </c>
      <c r="B236" s="24" t="n">
        <v>45830</v>
      </c>
      <c r="C236" s="23" t="n">
        <f aca="false">MONTH(B236)</f>
        <v>6</v>
      </c>
      <c r="D236" s="23" t="s">
        <v>23</v>
      </c>
      <c r="E236" s="23" t="s">
        <v>77</v>
      </c>
      <c r="F236" s="23" t="s">
        <v>81</v>
      </c>
      <c r="G236" s="23" t="str">
        <f aca="false">IFERROR(INDEX(Products!$B$2:$B$13,MATCH(F236,Products!$A$2:$A$13,0)),"Unknown")</f>
        <v>Laptops</v>
      </c>
      <c r="H236" s="23" t="n">
        <v>1</v>
      </c>
      <c r="I236" s="25" t="n">
        <f aca="false">IFERROR(INDEX(Products!$C$2:$C$13,MATCH(F236,Products!$A$2:$A$13,0)),0)</f>
        <v>950</v>
      </c>
      <c r="J236" s="25" t="n">
        <f aca="false">H236*I236</f>
        <v>950</v>
      </c>
      <c r="K236" s="25" t="n">
        <f aca="false">IFERROR(INDEX(Products!$D$2:$D$13,MATCH(F236,Products!$A$2:$A$13,0)),0)</f>
        <v>720</v>
      </c>
      <c r="L236" s="25" t="n">
        <f aca="false">H236*K236</f>
        <v>720</v>
      </c>
      <c r="M236" s="25" t="n">
        <f aca="false">J236-L236</f>
        <v>230</v>
      </c>
    </row>
    <row r="237" customFormat="false" ht="15" hidden="false" customHeight="false" outlineLevel="0" collapsed="false">
      <c r="A237" s="23" t="s">
        <v>321</v>
      </c>
      <c r="B237" s="24" t="n">
        <v>45830</v>
      </c>
      <c r="C237" s="23" t="n">
        <f aca="false">MONTH(B237)</f>
        <v>6</v>
      </c>
      <c r="D237" s="23" t="s">
        <v>23</v>
      </c>
      <c r="E237" s="23" t="s">
        <v>85</v>
      </c>
      <c r="F237" s="23" t="s">
        <v>83</v>
      </c>
      <c r="G237" s="23" t="str">
        <f aca="false">IFERROR(INDEX(Products!$B$2:$B$13,MATCH(F237,Products!$A$2:$A$13,0)),"Unknown")</f>
        <v>Phones</v>
      </c>
      <c r="H237" s="23" t="n">
        <v>1</v>
      </c>
      <c r="I237" s="25" t="n">
        <f aca="false">IFERROR(INDEX(Products!$C$2:$C$13,MATCH(F237,Products!$A$2:$A$13,0)),0)</f>
        <v>640</v>
      </c>
      <c r="J237" s="25" t="n">
        <f aca="false">H237*I237</f>
        <v>640</v>
      </c>
      <c r="K237" s="25" t="n">
        <f aca="false">IFERROR(INDEX(Products!$D$2:$D$13,MATCH(F237,Products!$A$2:$A$13,0)),0)</f>
        <v>470</v>
      </c>
      <c r="L237" s="25" t="n">
        <f aca="false">H237*K237</f>
        <v>470</v>
      </c>
      <c r="M237" s="25" t="n">
        <f aca="false">J237-L237</f>
        <v>170</v>
      </c>
    </row>
    <row r="238" customFormat="false" ht="15" hidden="false" customHeight="false" outlineLevel="0" collapsed="false">
      <c r="A238" s="23" t="s">
        <v>322</v>
      </c>
      <c r="B238" s="24" t="n">
        <v>45833</v>
      </c>
      <c r="C238" s="23" t="n">
        <f aca="false">MONTH(B238)</f>
        <v>6</v>
      </c>
      <c r="D238" s="23" t="s">
        <v>19</v>
      </c>
      <c r="E238" s="23" t="s">
        <v>70</v>
      </c>
      <c r="F238" s="23" t="s">
        <v>71</v>
      </c>
      <c r="G238" s="23" t="str">
        <f aca="false">IFERROR(INDEX(Products!$B$2:$B$13,MATCH(F238,Products!$A$2:$A$13,0)),"Unknown")</f>
        <v>Accessories</v>
      </c>
      <c r="H238" s="23" t="n">
        <v>3</v>
      </c>
      <c r="I238" s="25" t="n">
        <f aca="false">IFERROR(INDEX(Products!$C$2:$C$13,MATCH(F238,Products!$A$2:$A$13,0)),0)</f>
        <v>45</v>
      </c>
      <c r="J238" s="25" t="n">
        <f aca="false">H238*I238</f>
        <v>135</v>
      </c>
      <c r="K238" s="25" t="n">
        <f aca="false">IFERROR(INDEX(Products!$D$2:$D$13,MATCH(F238,Products!$A$2:$A$13,0)),0)</f>
        <v>18</v>
      </c>
      <c r="L238" s="25" t="n">
        <f aca="false">H238*K238</f>
        <v>54</v>
      </c>
      <c r="M238" s="25" t="n">
        <f aca="false">J238-L238</f>
        <v>81</v>
      </c>
    </row>
    <row r="239" customFormat="false" ht="15" hidden="false" customHeight="false" outlineLevel="0" collapsed="false">
      <c r="A239" s="23" t="s">
        <v>323</v>
      </c>
      <c r="B239" s="24" t="n">
        <v>45834</v>
      </c>
      <c r="C239" s="23" t="n">
        <f aca="false">MONTH(B239)</f>
        <v>6</v>
      </c>
      <c r="D239" s="23" t="s">
        <v>21</v>
      </c>
      <c r="E239" s="23" t="s">
        <v>90</v>
      </c>
      <c r="F239" s="23" t="s">
        <v>79</v>
      </c>
      <c r="G239" s="23" t="str">
        <f aca="false">IFERROR(INDEX(Products!$B$2:$B$13,MATCH(F239,Products!$A$2:$A$13,0)),"Unknown")</f>
        <v>Accessories</v>
      </c>
      <c r="H239" s="23" t="n">
        <v>9</v>
      </c>
      <c r="I239" s="25" t="n">
        <f aca="false">IFERROR(INDEX(Products!$C$2:$C$13,MATCH(F239,Products!$A$2:$A$13,0)),0)</f>
        <v>190</v>
      </c>
      <c r="J239" s="25" t="n">
        <f aca="false">H239*I239</f>
        <v>1710</v>
      </c>
      <c r="K239" s="25" t="n">
        <f aca="false">IFERROR(INDEX(Products!$D$2:$D$13,MATCH(F239,Products!$A$2:$A$13,0)),0)</f>
        <v>115</v>
      </c>
      <c r="L239" s="25" t="n">
        <f aca="false">H239*K239</f>
        <v>1035</v>
      </c>
      <c r="M239" s="25" t="n">
        <f aca="false">J239-L239</f>
        <v>675</v>
      </c>
    </row>
    <row r="240" customFormat="false" ht="15" hidden="false" customHeight="false" outlineLevel="0" collapsed="false">
      <c r="A240" s="23" t="s">
        <v>324</v>
      </c>
      <c r="B240" s="24" t="n">
        <v>45834</v>
      </c>
      <c r="C240" s="23" t="n">
        <f aca="false">MONTH(B240)</f>
        <v>6</v>
      </c>
      <c r="D240" s="23" t="s">
        <v>21</v>
      </c>
      <c r="E240" s="23" t="s">
        <v>90</v>
      </c>
      <c r="F240" s="23" t="s">
        <v>83</v>
      </c>
      <c r="G240" s="23" t="str">
        <f aca="false">IFERROR(INDEX(Products!$B$2:$B$13,MATCH(F240,Products!$A$2:$A$13,0)),"Unknown")</f>
        <v>Phones</v>
      </c>
      <c r="H240" s="23" t="n">
        <v>1</v>
      </c>
      <c r="I240" s="25" t="n">
        <f aca="false">IFERROR(INDEX(Products!$C$2:$C$13,MATCH(F240,Products!$A$2:$A$13,0)),0)</f>
        <v>640</v>
      </c>
      <c r="J240" s="25" t="n">
        <f aca="false">H240*I240</f>
        <v>640</v>
      </c>
      <c r="K240" s="25" t="n">
        <f aca="false">IFERROR(INDEX(Products!$D$2:$D$13,MATCH(F240,Products!$A$2:$A$13,0)),0)</f>
        <v>470</v>
      </c>
      <c r="L240" s="25" t="n">
        <f aca="false">H240*K240</f>
        <v>470</v>
      </c>
      <c r="M240" s="25" t="n">
        <f aca="false">J240-L240</f>
        <v>170</v>
      </c>
    </row>
    <row r="241" customFormat="false" ht="15" hidden="false" customHeight="false" outlineLevel="0" collapsed="false">
      <c r="A241" s="23" t="s">
        <v>325</v>
      </c>
      <c r="B241" s="24" t="n">
        <v>45834</v>
      </c>
      <c r="C241" s="23" t="n">
        <f aca="false">MONTH(B241)</f>
        <v>6</v>
      </c>
      <c r="D241" s="23" t="s">
        <v>23</v>
      </c>
      <c r="E241" s="23" t="s">
        <v>85</v>
      </c>
      <c r="F241" s="23" t="s">
        <v>71</v>
      </c>
      <c r="G241" s="23" t="str">
        <f aca="false">IFERROR(INDEX(Products!$B$2:$B$13,MATCH(F241,Products!$A$2:$A$13,0)),"Unknown")</f>
        <v>Accessories</v>
      </c>
      <c r="H241" s="23" t="n">
        <v>3</v>
      </c>
      <c r="I241" s="25" t="n">
        <f aca="false">IFERROR(INDEX(Products!$C$2:$C$13,MATCH(F241,Products!$A$2:$A$13,0)),0)</f>
        <v>45</v>
      </c>
      <c r="J241" s="25" t="n">
        <f aca="false">H241*I241</f>
        <v>135</v>
      </c>
      <c r="K241" s="25" t="n">
        <f aca="false">IFERROR(INDEX(Products!$D$2:$D$13,MATCH(F241,Products!$A$2:$A$13,0)),0)</f>
        <v>18</v>
      </c>
      <c r="L241" s="25" t="n">
        <f aca="false">H241*K241</f>
        <v>54</v>
      </c>
      <c r="M241" s="25" t="n">
        <f aca="false">J241-L241</f>
        <v>81</v>
      </c>
    </row>
    <row r="242" customFormat="false" ht="15" hidden="false" customHeight="false" outlineLevel="0" collapsed="false">
      <c r="A242" s="23" t="s">
        <v>326</v>
      </c>
      <c r="B242" s="24" t="n">
        <v>45835</v>
      </c>
      <c r="C242" s="23" t="n">
        <f aca="false">MONTH(B242)</f>
        <v>6</v>
      </c>
      <c r="D242" s="23" t="s">
        <v>21</v>
      </c>
      <c r="E242" s="23" t="s">
        <v>87</v>
      </c>
      <c r="F242" s="23" t="s">
        <v>68</v>
      </c>
      <c r="G242" s="23" t="str">
        <f aca="false">IFERROR(INDEX(Products!$B$2:$B$13,MATCH(F242,Products!$A$2:$A$13,0)),"Unknown")</f>
        <v>Laptops</v>
      </c>
      <c r="H242" s="23" t="n">
        <v>2</v>
      </c>
      <c r="I242" s="25" t="n">
        <f aca="false">IFERROR(INDEX(Products!$C$2:$C$13,MATCH(F242,Products!$A$2:$A$13,0)),0)</f>
        <v>780</v>
      </c>
      <c r="J242" s="25" t="n">
        <f aca="false">H242*I242</f>
        <v>1560</v>
      </c>
      <c r="K242" s="25" t="n">
        <f aca="false">IFERROR(INDEX(Products!$D$2:$D$13,MATCH(F242,Products!$A$2:$A$13,0)),0)</f>
        <v>590</v>
      </c>
      <c r="L242" s="25" t="n">
        <f aca="false">H242*K242</f>
        <v>1180</v>
      </c>
      <c r="M242" s="25" t="n">
        <f aca="false">J242-L242</f>
        <v>380</v>
      </c>
    </row>
    <row r="243" customFormat="false" ht="15" hidden="false" customHeight="false" outlineLevel="0" collapsed="false">
      <c r="A243" s="23" t="s">
        <v>327</v>
      </c>
      <c r="B243" s="24" t="n">
        <v>45835</v>
      </c>
      <c r="C243" s="23" t="n">
        <f aca="false">MONTH(B243)</f>
        <v>6</v>
      </c>
      <c r="D243" s="23" t="s">
        <v>23</v>
      </c>
      <c r="E243" s="23" t="s">
        <v>85</v>
      </c>
      <c r="F243" s="23" t="s">
        <v>104</v>
      </c>
      <c r="G243" s="23" t="str">
        <f aca="false">IFERROR(INDEX(Products!$B$2:$B$13,MATCH(F243,Products!$A$2:$A$13,0)),"Unknown")</f>
        <v>Phones</v>
      </c>
      <c r="H243" s="23" t="n">
        <v>1</v>
      </c>
      <c r="I243" s="25" t="n">
        <f aca="false">IFERROR(INDEX(Products!$C$2:$C$13,MATCH(F243,Products!$A$2:$A$13,0)),0)</f>
        <v>290</v>
      </c>
      <c r="J243" s="25" t="n">
        <f aca="false">H243*I243</f>
        <v>290</v>
      </c>
      <c r="K243" s="25" t="n">
        <f aca="false">IFERROR(INDEX(Products!$D$2:$D$13,MATCH(F243,Products!$A$2:$A$13,0)),0)</f>
        <v>205</v>
      </c>
      <c r="L243" s="25" t="n">
        <f aca="false">H243*K243</f>
        <v>205</v>
      </c>
      <c r="M243" s="25" t="n">
        <f aca="false">J243-L243</f>
        <v>85</v>
      </c>
    </row>
    <row r="244" customFormat="false" ht="15" hidden="false" customHeight="false" outlineLevel="0" collapsed="false">
      <c r="A244" s="23" t="s">
        <v>328</v>
      </c>
      <c r="B244" s="24" t="n">
        <v>45836</v>
      </c>
      <c r="C244" s="23" t="n">
        <f aca="false">MONTH(B244)</f>
        <v>6</v>
      </c>
      <c r="D244" s="23" t="s">
        <v>21</v>
      </c>
      <c r="E244" s="23" t="s">
        <v>90</v>
      </c>
      <c r="F244" s="23" t="s">
        <v>68</v>
      </c>
      <c r="G244" s="23" t="str">
        <f aca="false">IFERROR(INDEX(Products!$B$2:$B$13,MATCH(F244,Products!$A$2:$A$13,0)),"Unknown")</f>
        <v>Laptops</v>
      </c>
      <c r="H244" s="23" t="n">
        <v>4</v>
      </c>
      <c r="I244" s="25" t="n">
        <f aca="false">IFERROR(INDEX(Products!$C$2:$C$13,MATCH(F244,Products!$A$2:$A$13,0)),0)</f>
        <v>780</v>
      </c>
      <c r="J244" s="25" t="n">
        <f aca="false">H244*I244</f>
        <v>3120</v>
      </c>
      <c r="K244" s="25" t="n">
        <f aca="false">IFERROR(INDEX(Products!$D$2:$D$13,MATCH(F244,Products!$A$2:$A$13,0)),0)</f>
        <v>590</v>
      </c>
      <c r="L244" s="25" t="n">
        <f aca="false">H244*K244</f>
        <v>2360</v>
      </c>
      <c r="M244" s="25" t="n">
        <f aca="false">J244-L244</f>
        <v>760</v>
      </c>
    </row>
    <row r="245" customFormat="false" ht="15" hidden="false" customHeight="false" outlineLevel="0" collapsed="false">
      <c r="A245" s="23" t="s">
        <v>329</v>
      </c>
      <c r="B245" s="24" t="n">
        <v>45836</v>
      </c>
      <c r="C245" s="23" t="n">
        <f aca="false">MONTH(B245)</f>
        <v>6</v>
      </c>
      <c r="D245" s="23" t="s">
        <v>21</v>
      </c>
      <c r="E245" s="23" t="s">
        <v>87</v>
      </c>
      <c r="F245" s="23" t="s">
        <v>68</v>
      </c>
      <c r="G245" s="23" t="str">
        <f aca="false">IFERROR(INDEX(Products!$B$2:$B$13,MATCH(F245,Products!$A$2:$A$13,0)),"Unknown")</f>
        <v>Laptops</v>
      </c>
      <c r="H245" s="23" t="n">
        <v>3</v>
      </c>
      <c r="I245" s="25" t="n">
        <f aca="false">IFERROR(INDEX(Products!$C$2:$C$13,MATCH(F245,Products!$A$2:$A$13,0)),0)</f>
        <v>780</v>
      </c>
      <c r="J245" s="25" t="n">
        <f aca="false">H245*I245</f>
        <v>2340</v>
      </c>
      <c r="K245" s="25" t="n">
        <f aca="false">IFERROR(INDEX(Products!$D$2:$D$13,MATCH(F245,Products!$A$2:$A$13,0)),0)</f>
        <v>590</v>
      </c>
      <c r="L245" s="25" t="n">
        <f aca="false">H245*K245</f>
        <v>1770</v>
      </c>
      <c r="M245" s="25" t="n">
        <f aca="false">J245-L245</f>
        <v>570</v>
      </c>
    </row>
    <row r="246" customFormat="false" ht="15" hidden="false" customHeight="false" outlineLevel="0" collapsed="false">
      <c r="A246" s="23" t="s">
        <v>330</v>
      </c>
      <c r="B246" s="24" t="n">
        <v>45836</v>
      </c>
      <c r="C246" s="23" t="n">
        <f aca="false">MONTH(B246)</f>
        <v>6</v>
      </c>
      <c r="D246" s="23" t="s">
        <v>19</v>
      </c>
      <c r="E246" s="23" t="s">
        <v>73</v>
      </c>
      <c r="F246" s="23" t="s">
        <v>98</v>
      </c>
      <c r="G246" s="23" t="str">
        <f aca="false">IFERROR(INDEX(Products!$B$2:$B$13,MATCH(F246,Products!$A$2:$A$13,0)),"Unknown")</f>
        <v>Monitors</v>
      </c>
      <c r="H246" s="23" t="n">
        <v>2</v>
      </c>
      <c r="I246" s="25" t="n">
        <f aca="false">IFERROR(INDEX(Products!$C$2:$C$13,MATCH(F246,Products!$A$2:$A$13,0)),0)</f>
        <v>480</v>
      </c>
      <c r="J246" s="25" t="n">
        <f aca="false">H246*I246</f>
        <v>960</v>
      </c>
      <c r="K246" s="25" t="n">
        <f aca="false">IFERROR(INDEX(Products!$D$2:$D$13,MATCH(F246,Products!$A$2:$A$13,0)),0)</f>
        <v>350</v>
      </c>
      <c r="L246" s="25" t="n">
        <f aca="false">H246*K246</f>
        <v>700</v>
      </c>
      <c r="M246" s="25" t="n">
        <f aca="false">J246-L246</f>
        <v>260</v>
      </c>
    </row>
    <row r="247" customFormat="false" ht="15" hidden="false" customHeight="false" outlineLevel="0" collapsed="false">
      <c r="A247" s="23" t="s">
        <v>331</v>
      </c>
      <c r="B247" s="24" t="n">
        <v>45836</v>
      </c>
      <c r="C247" s="23" t="n">
        <f aca="false">MONTH(B247)</f>
        <v>6</v>
      </c>
      <c r="D247" s="23" t="s">
        <v>21</v>
      </c>
      <c r="E247" s="23" t="s">
        <v>90</v>
      </c>
      <c r="F247" s="23" t="s">
        <v>68</v>
      </c>
      <c r="G247" s="23" t="str">
        <f aca="false">IFERROR(INDEX(Products!$B$2:$B$13,MATCH(F247,Products!$A$2:$A$13,0)),"Unknown")</f>
        <v>Laptops</v>
      </c>
      <c r="H247" s="23" t="n">
        <v>2</v>
      </c>
      <c r="I247" s="25" t="n">
        <f aca="false">IFERROR(INDEX(Products!$C$2:$C$13,MATCH(F247,Products!$A$2:$A$13,0)),0)</f>
        <v>780</v>
      </c>
      <c r="J247" s="25" t="n">
        <f aca="false">H247*I247</f>
        <v>1560</v>
      </c>
      <c r="K247" s="25" t="n">
        <f aca="false">IFERROR(INDEX(Products!$D$2:$D$13,MATCH(F247,Products!$A$2:$A$13,0)),0)</f>
        <v>590</v>
      </c>
      <c r="L247" s="25" t="n">
        <f aca="false">H247*K247</f>
        <v>1180</v>
      </c>
      <c r="M247" s="25" t="n">
        <f aca="false">J247-L247</f>
        <v>380</v>
      </c>
    </row>
    <row r="248" customFormat="false" ht="15" hidden="false" customHeight="false" outlineLevel="0" collapsed="false">
      <c r="A248" s="23" t="s">
        <v>332</v>
      </c>
      <c r="B248" s="24" t="n">
        <v>45839</v>
      </c>
      <c r="C248" s="23" t="n">
        <f aca="false">MONTH(B248)</f>
        <v>7</v>
      </c>
      <c r="D248" s="23" t="s">
        <v>23</v>
      </c>
      <c r="E248" s="23" t="s">
        <v>85</v>
      </c>
      <c r="F248" s="23" t="s">
        <v>74</v>
      </c>
      <c r="G248" s="23" t="str">
        <f aca="false">IFERROR(INDEX(Products!$B$2:$B$13,MATCH(F248,Products!$A$2:$A$13,0)),"Unknown")</f>
        <v>Monitors</v>
      </c>
      <c r="H248" s="23" t="n">
        <v>3</v>
      </c>
      <c r="I248" s="25" t="n">
        <f aca="false">IFERROR(INDEX(Products!$C$2:$C$13,MATCH(F248,Products!$A$2:$A$13,0)),0)</f>
        <v>310</v>
      </c>
      <c r="J248" s="25" t="n">
        <f aca="false">H248*I248</f>
        <v>930</v>
      </c>
      <c r="K248" s="25" t="n">
        <f aca="false">IFERROR(INDEX(Products!$D$2:$D$13,MATCH(F248,Products!$A$2:$A$13,0)),0)</f>
        <v>225</v>
      </c>
      <c r="L248" s="25" t="n">
        <f aca="false">H248*K248</f>
        <v>675</v>
      </c>
      <c r="M248" s="25" t="n">
        <f aca="false">J248-L248</f>
        <v>255</v>
      </c>
    </row>
    <row r="249" customFormat="false" ht="15" hidden="false" customHeight="false" outlineLevel="0" collapsed="false">
      <c r="A249" s="23" t="s">
        <v>333</v>
      </c>
      <c r="B249" s="24" t="n">
        <v>45839</v>
      </c>
      <c r="C249" s="23" t="n">
        <f aca="false">MONTH(B249)</f>
        <v>7</v>
      </c>
      <c r="D249" s="23" t="s">
        <v>21</v>
      </c>
      <c r="E249" s="23" t="s">
        <v>87</v>
      </c>
      <c r="F249" s="23" t="s">
        <v>104</v>
      </c>
      <c r="G249" s="23" t="str">
        <f aca="false">IFERROR(INDEX(Products!$B$2:$B$13,MATCH(F249,Products!$A$2:$A$13,0)),"Unknown")</f>
        <v>Phones</v>
      </c>
      <c r="H249" s="23" t="n">
        <v>2</v>
      </c>
      <c r="I249" s="25" t="n">
        <f aca="false">IFERROR(INDEX(Products!$C$2:$C$13,MATCH(F249,Products!$A$2:$A$13,0)),0)</f>
        <v>290</v>
      </c>
      <c r="J249" s="25" t="n">
        <f aca="false">H249*I249</f>
        <v>580</v>
      </c>
      <c r="K249" s="25" t="n">
        <f aca="false">IFERROR(INDEX(Products!$D$2:$D$13,MATCH(F249,Products!$A$2:$A$13,0)),0)</f>
        <v>205</v>
      </c>
      <c r="L249" s="25" t="n">
        <f aca="false">H249*K249</f>
        <v>410</v>
      </c>
      <c r="M249" s="25" t="n">
        <f aca="false">J249-L249</f>
        <v>170</v>
      </c>
    </row>
    <row r="250" customFormat="false" ht="15" hidden="false" customHeight="false" outlineLevel="0" collapsed="false">
      <c r="A250" s="23" t="s">
        <v>334</v>
      </c>
      <c r="B250" s="24" t="n">
        <v>45840</v>
      </c>
      <c r="C250" s="23" t="n">
        <f aca="false">MONTH(B250)</f>
        <v>7</v>
      </c>
      <c r="D250" s="23" t="s">
        <v>19</v>
      </c>
      <c r="E250" s="23" t="s">
        <v>73</v>
      </c>
      <c r="F250" s="23" t="s">
        <v>68</v>
      </c>
      <c r="G250" s="23" t="str">
        <f aca="false">IFERROR(INDEX(Products!$B$2:$B$13,MATCH(F250,Products!$A$2:$A$13,0)),"Unknown")</f>
        <v>Laptops</v>
      </c>
      <c r="H250" s="23" t="n">
        <v>1</v>
      </c>
      <c r="I250" s="25" t="n">
        <f aca="false">IFERROR(INDEX(Products!$C$2:$C$13,MATCH(F250,Products!$A$2:$A$13,0)),0)</f>
        <v>780</v>
      </c>
      <c r="J250" s="25" t="n">
        <f aca="false">H250*I250</f>
        <v>780</v>
      </c>
      <c r="K250" s="25" t="n">
        <f aca="false">IFERROR(INDEX(Products!$D$2:$D$13,MATCH(F250,Products!$A$2:$A$13,0)),0)</f>
        <v>590</v>
      </c>
      <c r="L250" s="25" t="n">
        <f aca="false">H250*K250</f>
        <v>590</v>
      </c>
      <c r="M250" s="25" t="n">
        <f aca="false">J250-L250</f>
        <v>190</v>
      </c>
    </row>
    <row r="251" customFormat="false" ht="15" hidden="false" customHeight="false" outlineLevel="0" collapsed="false">
      <c r="A251" s="23" t="s">
        <v>335</v>
      </c>
      <c r="B251" s="24" t="n">
        <v>45840</v>
      </c>
      <c r="C251" s="23" t="n">
        <f aca="false">MONTH(B251)</f>
        <v>7</v>
      </c>
      <c r="D251" s="23" t="s">
        <v>19</v>
      </c>
      <c r="E251" s="23" t="s">
        <v>73</v>
      </c>
      <c r="F251" s="23" t="s">
        <v>104</v>
      </c>
      <c r="G251" s="23" t="str">
        <f aca="false">IFERROR(INDEX(Products!$B$2:$B$13,MATCH(F251,Products!$A$2:$A$13,0)),"Unknown")</f>
        <v>Phones</v>
      </c>
      <c r="H251" s="23" t="n">
        <v>1</v>
      </c>
      <c r="I251" s="25" t="n">
        <f aca="false">IFERROR(INDEX(Products!$C$2:$C$13,MATCH(F251,Products!$A$2:$A$13,0)),0)</f>
        <v>290</v>
      </c>
      <c r="J251" s="25" t="n">
        <f aca="false">H251*I251</f>
        <v>290</v>
      </c>
      <c r="K251" s="25" t="n">
        <f aca="false">IFERROR(INDEX(Products!$D$2:$D$13,MATCH(F251,Products!$A$2:$A$13,0)),0)</f>
        <v>205</v>
      </c>
      <c r="L251" s="25" t="n">
        <f aca="false">H251*K251</f>
        <v>205</v>
      </c>
      <c r="M251" s="25" t="n">
        <f aca="false">J251-L251</f>
        <v>85</v>
      </c>
    </row>
    <row r="252" customFormat="false" ht="15" hidden="false" customHeight="false" outlineLevel="0" collapsed="false">
      <c r="A252" s="23" t="s">
        <v>336</v>
      </c>
      <c r="B252" s="24" t="n">
        <v>45840</v>
      </c>
      <c r="C252" s="23" t="n">
        <f aca="false">MONTH(B252)</f>
        <v>7</v>
      </c>
      <c r="D252" s="23" t="s">
        <v>19</v>
      </c>
      <c r="E252" s="23" t="s">
        <v>73</v>
      </c>
      <c r="F252" s="23" t="s">
        <v>79</v>
      </c>
      <c r="G252" s="23" t="str">
        <f aca="false">IFERROR(INDEX(Products!$B$2:$B$13,MATCH(F252,Products!$A$2:$A$13,0)),"Unknown")</f>
        <v>Accessories</v>
      </c>
      <c r="H252" s="23" t="n">
        <v>15</v>
      </c>
      <c r="I252" s="25" t="n">
        <f aca="false">IFERROR(INDEX(Products!$C$2:$C$13,MATCH(F252,Products!$A$2:$A$13,0)),0)</f>
        <v>190</v>
      </c>
      <c r="J252" s="25" t="n">
        <f aca="false">H252*I252</f>
        <v>2850</v>
      </c>
      <c r="K252" s="25" t="n">
        <f aca="false">IFERROR(INDEX(Products!$D$2:$D$13,MATCH(F252,Products!$A$2:$A$13,0)),0)</f>
        <v>115</v>
      </c>
      <c r="L252" s="25" t="n">
        <f aca="false">H252*K252</f>
        <v>1725</v>
      </c>
      <c r="M252" s="25" t="n">
        <f aca="false">J252-L252</f>
        <v>1125</v>
      </c>
    </row>
    <row r="253" customFormat="false" ht="15" hidden="false" customHeight="false" outlineLevel="0" collapsed="false">
      <c r="A253" s="23" t="s">
        <v>337</v>
      </c>
      <c r="B253" s="24" t="n">
        <v>45841</v>
      </c>
      <c r="C253" s="23" t="n">
        <f aca="false">MONTH(B253)</f>
        <v>7</v>
      </c>
      <c r="D253" s="23" t="s">
        <v>19</v>
      </c>
      <c r="E253" s="23" t="s">
        <v>73</v>
      </c>
      <c r="F253" s="23" t="s">
        <v>79</v>
      </c>
      <c r="G253" s="23" t="str">
        <f aca="false">IFERROR(INDEX(Products!$B$2:$B$13,MATCH(F253,Products!$A$2:$A$13,0)),"Unknown")</f>
        <v>Accessories</v>
      </c>
      <c r="H253" s="23" t="n">
        <v>3</v>
      </c>
      <c r="I253" s="25" t="n">
        <f aca="false">IFERROR(INDEX(Products!$C$2:$C$13,MATCH(F253,Products!$A$2:$A$13,0)),0)</f>
        <v>190</v>
      </c>
      <c r="J253" s="25" t="n">
        <f aca="false">H253*I253</f>
        <v>570</v>
      </c>
      <c r="K253" s="25" t="n">
        <f aca="false">IFERROR(INDEX(Products!$D$2:$D$13,MATCH(F253,Products!$A$2:$A$13,0)),0)</f>
        <v>115</v>
      </c>
      <c r="L253" s="25" t="n">
        <f aca="false">H253*K253</f>
        <v>345</v>
      </c>
      <c r="M253" s="25" t="n">
        <f aca="false">J253-L253</f>
        <v>225</v>
      </c>
    </row>
    <row r="254" customFormat="false" ht="15" hidden="false" customHeight="false" outlineLevel="0" collapsed="false">
      <c r="A254" s="23" t="s">
        <v>338</v>
      </c>
      <c r="B254" s="24" t="n">
        <v>45841</v>
      </c>
      <c r="C254" s="23" t="n">
        <f aca="false">MONTH(B254)</f>
        <v>7</v>
      </c>
      <c r="D254" s="23" t="s">
        <v>23</v>
      </c>
      <c r="E254" s="23" t="s">
        <v>85</v>
      </c>
      <c r="F254" s="23" t="s">
        <v>71</v>
      </c>
      <c r="G254" s="23" t="str">
        <f aca="false">IFERROR(INDEX(Products!$B$2:$B$13,MATCH(F254,Products!$A$2:$A$13,0)),"Unknown")</f>
        <v>Accessories</v>
      </c>
      <c r="H254" s="23" t="n">
        <v>3</v>
      </c>
      <c r="I254" s="25" t="n">
        <f aca="false">IFERROR(INDEX(Products!$C$2:$C$13,MATCH(F254,Products!$A$2:$A$13,0)),0)</f>
        <v>45</v>
      </c>
      <c r="J254" s="25" t="n">
        <f aca="false">H254*I254</f>
        <v>135</v>
      </c>
      <c r="K254" s="25" t="n">
        <f aca="false">IFERROR(INDEX(Products!$D$2:$D$13,MATCH(F254,Products!$A$2:$A$13,0)),0)</f>
        <v>18</v>
      </c>
      <c r="L254" s="25" t="n">
        <f aca="false">H254*K254</f>
        <v>54</v>
      </c>
      <c r="M254" s="25" t="n">
        <f aca="false">J254-L254</f>
        <v>81</v>
      </c>
    </row>
    <row r="255" customFormat="false" ht="15" hidden="false" customHeight="false" outlineLevel="0" collapsed="false">
      <c r="A255" s="23" t="s">
        <v>339</v>
      </c>
      <c r="B255" s="24" t="n">
        <v>45841</v>
      </c>
      <c r="C255" s="23" t="n">
        <f aca="false">MONTH(B255)</f>
        <v>7</v>
      </c>
      <c r="D255" s="23" t="s">
        <v>21</v>
      </c>
      <c r="E255" s="23" t="s">
        <v>87</v>
      </c>
      <c r="F255" s="23" t="s">
        <v>68</v>
      </c>
      <c r="G255" s="23" t="str">
        <f aca="false">IFERROR(INDEX(Products!$B$2:$B$13,MATCH(F255,Products!$A$2:$A$13,0)),"Unknown")</f>
        <v>Laptops</v>
      </c>
      <c r="H255" s="23" t="n">
        <v>4</v>
      </c>
      <c r="I255" s="25" t="n">
        <f aca="false">IFERROR(INDEX(Products!$C$2:$C$13,MATCH(F255,Products!$A$2:$A$13,0)),0)</f>
        <v>780</v>
      </c>
      <c r="J255" s="25" t="n">
        <f aca="false">H255*I255</f>
        <v>3120</v>
      </c>
      <c r="K255" s="25" t="n">
        <f aca="false">IFERROR(INDEX(Products!$D$2:$D$13,MATCH(F255,Products!$A$2:$A$13,0)),0)</f>
        <v>590</v>
      </c>
      <c r="L255" s="25" t="n">
        <f aca="false">H255*K255</f>
        <v>2360</v>
      </c>
      <c r="M255" s="25" t="n">
        <f aca="false">J255-L255</f>
        <v>760</v>
      </c>
    </row>
    <row r="256" customFormat="false" ht="15" hidden="false" customHeight="false" outlineLevel="0" collapsed="false">
      <c r="A256" s="23" t="s">
        <v>340</v>
      </c>
      <c r="B256" s="24" t="n">
        <v>45841</v>
      </c>
      <c r="C256" s="23" t="n">
        <f aca="false">MONTH(B256)</f>
        <v>7</v>
      </c>
      <c r="D256" s="23" t="s">
        <v>21</v>
      </c>
      <c r="E256" s="23" t="s">
        <v>90</v>
      </c>
      <c r="F256" s="23" t="s">
        <v>71</v>
      </c>
      <c r="G256" s="23" t="str">
        <f aca="false">IFERROR(INDEX(Products!$B$2:$B$13,MATCH(F256,Products!$A$2:$A$13,0)),"Unknown")</f>
        <v>Accessories</v>
      </c>
      <c r="H256" s="23" t="n">
        <v>3</v>
      </c>
      <c r="I256" s="25" t="n">
        <f aca="false">IFERROR(INDEX(Products!$C$2:$C$13,MATCH(F256,Products!$A$2:$A$13,0)),0)</f>
        <v>45</v>
      </c>
      <c r="J256" s="25" t="n">
        <f aca="false">H256*I256</f>
        <v>135</v>
      </c>
      <c r="K256" s="25" t="n">
        <f aca="false">IFERROR(INDEX(Products!$D$2:$D$13,MATCH(F256,Products!$A$2:$A$13,0)),0)</f>
        <v>18</v>
      </c>
      <c r="L256" s="25" t="n">
        <f aca="false">H256*K256</f>
        <v>54</v>
      </c>
      <c r="M256" s="25" t="n">
        <f aca="false">J256-L256</f>
        <v>81</v>
      </c>
    </row>
    <row r="257" customFormat="false" ht="15" hidden="false" customHeight="false" outlineLevel="0" collapsed="false">
      <c r="A257" s="23" t="s">
        <v>341</v>
      </c>
      <c r="B257" s="24" t="n">
        <v>45842</v>
      </c>
      <c r="C257" s="23" t="n">
        <f aca="false">MONTH(B257)</f>
        <v>7</v>
      </c>
      <c r="D257" s="23" t="s">
        <v>23</v>
      </c>
      <c r="E257" s="23" t="s">
        <v>77</v>
      </c>
      <c r="F257" s="23" t="s">
        <v>81</v>
      </c>
      <c r="G257" s="23" t="str">
        <f aca="false">IFERROR(INDEX(Products!$B$2:$B$13,MATCH(F257,Products!$A$2:$A$13,0)),"Unknown")</f>
        <v>Laptops</v>
      </c>
      <c r="H257" s="23" t="n">
        <v>3</v>
      </c>
      <c r="I257" s="25" t="n">
        <f aca="false">IFERROR(INDEX(Products!$C$2:$C$13,MATCH(F257,Products!$A$2:$A$13,0)),0)</f>
        <v>950</v>
      </c>
      <c r="J257" s="25" t="n">
        <f aca="false">H257*I257</f>
        <v>2850</v>
      </c>
      <c r="K257" s="25" t="n">
        <f aca="false">IFERROR(INDEX(Products!$D$2:$D$13,MATCH(F257,Products!$A$2:$A$13,0)),0)</f>
        <v>720</v>
      </c>
      <c r="L257" s="25" t="n">
        <f aca="false">H257*K257</f>
        <v>2160</v>
      </c>
      <c r="M257" s="25" t="n">
        <f aca="false">J257-L257</f>
        <v>690</v>
      </c>
    </row>
    <row r="258" customFormat="false" ht="15" hidden="false" customHeight="false" outlineLevel="0" collapsed="false">
      <c r="A258" s="23" t="s">
        <v>342</v>
      </c>
      <c r="B258" s="24" t="n">
        <v>45842</v>
      </c>
      <c r="C258" s="23" t="n">
        <f aca="false">MONTH(B258)</f>
        <v>7</v>
      </c>
      <c r="D258" s="23" t="s">
        <v>19</v>
      </c>
      <c r="E258" s="23" t="s">
        <v>73</v>
      </c>
      <c r="F258" s="23" t="s">
        <v>83</v>
      </c>
      <c r="G258" s="23" t="str">
        <f aca="false">IFERROR(INDEX(Products!$B$2:$B$13,MATCH(F258,Products!$A$2:$A$13,0)),"Unknown")</f>
        <v>Phones</v>
      </c>
      <c r="H258" s="23" t="n">
        <v>1</v>
      </c>
      <c r="I258" s="25" t="n">
        <f aca="false">IFERROR(INDEX(Products!$C$2:$C$13,MATCH(F258,Products!$A$2:$A$13,0)),0)</f>
        <v>640</v>
      </c>
      <c r="J258" s="25" t="n">
        <f aca="false">H258*I258</f>
        <v>640</v>
      </c>
      <c r="K258" s="25" t="n">
        <f aca="false">IFERROR(INDEX(Products!$D$2:$D$13,MATCH(F258,Products!$A$2:$A$13,0)),0)</f>
        <v>470</v>
      </c>
      <c r="L258" s="25" t="n">
        <f aca="false">H258*K258</f>
        <v>470</v>
      </c>
      <c r="M258" s="25" t="n">
        <f aca="false">J258-L258</f>
        <v>170</v>
      </c>
    </row>
    <row r="259" customFormat="false" ht="15" hidden="false" customHeight="false" outlineLevel="0" collapsed="false">
      <c r="A259" s="23" t="s">
        <v>343</v>
      </c>
      <c r="B259" s="24" t="n">
        <v>45842</v>
      </c>
      <c r="C259" s="23" t="n">
        <f aca="false">MONTH(B259)</f>
        <v>7</v>
      </c>
      <c r="D259" s="23" t="s">
        <v>21</v>
      </c>
      <c r="E259" s="23" t="s">
        <v>90</v>
      </c>
      <c r="F259" s="23" t="s">
        <v>98</v>
      </c>
      <c r="G259" s="23" t="str">
        <f aca="false">IFERROR(INDEX(Products!$B$2:$B$13,MATCH(F259,Products!$A$2:$A$13,0)),"Unknown")</f>
        <v>Monitors</v>
      </c>
      <c r="H259" s="23" t="n">
        <v>1</v>
      </c>
      <c r="I259" s="25" t="n">
        <f aca="false">IFERROR(INDEX(Products!$C$2:$C$13,MATCH(F259,Products!$A$2:$A$13,0)),0)</f>
        <v>480</v>
      </c>
      <c r="J259" s="25" t="n">
        <f aca="false">H259*I259</f>
        <v>480</v>
      </c>
      <c r="K259" s="25" t="n">
        <f aca="false">IFERROR(INDEX(Products!$D$2:$D$13,MATCH(F259,Products!$A$2:$A$13,0)),0)</f>
        <v>350</v>
      </c>
      <c r="L259" s="25" t="n">
        <f aca="false">H259*K259</f>
        <v>350</v>
      </c>
      <c r="M259" s="25" t="n">
        <f aca="false">J259-L259</f>
        <v>130</v>
      </c>
    </row>
    <row r="260" customFormat="false" ht="15" hidden="false" customHeight="false" outlineLevel="0" collapsed="false">
      <c r="A260" s="23" t="s">
        <v>344</v>
      </c>
      <c r="B260" s="24" t="n">
        <v>45843</v>
      </c>
      <c r="C260" s="23" t="n">
        <f aca="false">MONTH(B260)</f>
        <v>7</v>
      </c>
      <c r="D260" s="23" t="s">
        <v>23</v>
      </c>
      <c r="E260" s="23" t="s">
        <v>85</v>
      </c>
      <c r="F260" s="23" t="s">
        <v>81</v>
      </c>
      <c r="G260" s="23" t="str">
        <f aca="false">IFERROR(INDEX(Products!$B$2:$B$13,MATCH(F260,Products!$A$2:$A$13,0)),"Unknown")</f>
        <v>Laptops</v>
      </c>
      <c r="H260" s="23" t="n">
        <v>5</v>
      </c>
      <c r="I260" s="25" t="n">
        <f aca="false">IFERROR(INDEX(Products!$C$2:$C$13,MATCH(F260,Products!$A$2:$A$13,0)),0)</f>
        <v>950</v>
      </c>
      <c r="J260" s="25" t="n">
        <f aca="false">H260*I260</f>
        <v>4750</v>
      </c>
      <c r="K260" s="25" t="n">
        <f aca="false">IFERROR(INDEX(Products!$D$2:$D$13,MATCH(F260,Products!$A$2:$A$13,0)),0)</f>
        <v>720</v>
      </c>
      <c r="L260" s="25" t="n">
        <f aca="false">H260*K260</f>
        <v>3600</v>
      </c>
      <c r="M260" s="25" t="n">
        <f aca="false">J260-L260</f>
        <v>1150</v>
      </c>
    </row>
    <row r="261" customFormat="false" ht="15" hidden="false" customHeight="false" outlineLevel="0" collapsed="false">
      <c r="A261" s="23" t="s">
        <v>345</v>
      </c>
      <c r="B261" s="24" t="n">
        <v>45844</v>
      </c>
      <c r="C261" s="23" t="n">
        <f aca="false">MONTH(B261)</f>
        <v>7</v>
      </c>
      <c r="D261" s="23" t="s">
        <v>21</v>
      </c>
      <c r="E261" s="23" t="s">
        <v>90</v>
      </c>
      <c r="F261" s="23" t="s">
        <v>104</v>
      </c>
      <c r="G261" s="23" t="str">
        <f aca="false">IFERROR(INDEX(Products!$B$2:$B$13,MATCH(F261,Products!$A$2:$A$13,0)),"Unknown")</f>
        <v>Phones</v>
      </c>
      <c r="H261" s="23" t="n">
        <v>3</v>
      </c>
      <c r="I261" s="25" t="n">
        <f aca="false">IFERROR(INDEX(Products!$C$2:$C$13,MATCH(F261,Products!$A$2:$A$13,0)),0)</f>
        <v>290</v>
      </c>
      <c r="J261" s="25" t="n">
        <f aca="false">H261*I261</f>
        <v>870</v>
      </c>
      <c r="K261" s="25" t="n">
        <f aca="false">IFERROR(INDEX(Products!$D$2:$D$13,MATCH(F261,Products!$A$2:$A$13,0)),0)</f>
        <v>205</v>
      </c>
      <c r="L261" s="25" t="n">
        <f aca="false">H261*K261</f>
        <v>615</v>
      </c>
      <c r="M261" s="25" t="n">
        <f aca="false">J261-L261</f>
        <v>255</v>
      </c>
    </row>
    <row r="262" customFormat="false" ht="15" hidden="false" customHeight="false" outlineLevel="0" collapsed="false">
      <c r="A262" s="23" t="s">
        <v>346</v>
      </c>
      <c r="B262" s="24" t="n">
        <v>45844</v>
      </c>
      <c r="C262" s="23" t="n">
        <f aca="false">MONTH(B262)</f>
        <v>7</v>
      </c>
      <c r="D262" s="23" t="s">
        <v>19</v>
      </c>
      <c r="E262" s="23" t="s">
        <v>70</v>
      </c>
      <c r="F262" s="23" t="s">
        <v>104</v>
      </c>
      <c r="G262" s="23" t="str">
        <f aca="false">IFERROR(INDEX(Products!$B$2:$B$13,MATCH(F262,Products!$A$2:$A$13,0)),"Unknown")</f>
        <v>Phones</v>
      </c>
      <c r="H262" s="23" t="n">
        <v>2</v>
      </c>
      <c r="I262" s="25" t="n">
        <f aca="false">IFERROR(INDEX(Products!$C$2:$C$13,MATCH(F262,Products!$A$2:$A$13,0)),0)</f>
        <v>290</v>
      </c>
      <c r="J262" s="25" t="n">
        <f aca="false">H262*I262</f>
        <v>580</v>
      </c>
      <c r="K262" s="25" t="n">
        <f aca="false">IFERROR(INDEX(Products!$D$2:$D$13,MATCH(F262,Products!$A$2:$A$13,0)),0)</f>
        <v>205</v>
      </c>
      <c r="L262" s="25" t="n">
        <f aca="false">H262*K262</f>
        <v>410</v>
      </c>
      <c r="M262" s="25" t="n">
        <f aca="false">J262-L262</f>
        <v>170</v>
      </c>
    </row>
    <row r="263" customFormat="false" ht="15" hidden="false" customHeight="false" outlineLevel="0" collapsed="false">
      <c r="A263" s="23" t="s">
        <v>347</v>
      </c>
      <c r="B263" s="24" t="n">
        <v>45845</v>
      </c>
      <c r="C263" s="23" t="n">
        <f aca="false">MONTH(B263)</f>
        <v>7</v>
      </c>
      <c r="D263" s="23" t="s">
        <v>21</v>
      </c>
      <c r="E263" s="23" t="s">
        <v>87</v>
      </c>
      <c r="F263" s="23" t="s">
        <v>74</v>
      </c>
      <c r="G263" s="23" t="str">
        <f aca="false">IFERROR(INDEX(Products!$B$2:$B$13,MATCH(F263,Products!$A$2:$A$13,0)),"Unknown")</f>
        <v>Monitors</v>
      </c>
      <c r="H263" s="23" t="n">
        <v>1</v>
      </c>
      <c r="I263" s="25" t="n">
        <f aca="false">IFERROR(INDEX(Products!$C$2:$C$13,MATCH(F263,Products!$A$2:$A$13,0)),0)</f>
        <v>310</v>
      </c>
      <c r="J263" s="25" t="n">
        <f aca="false">H263*I263</f>
        <v>310</v>
      </c>
      <c r="K263" s="25" t="n">
        <f aca="false">IFERROR(INDEX(Products!$D$2:$D$13,MATCH(F263,Products!$A$2:$A$13,0)),0)</f>
        <v>225</v>
      </c>
      <c r="L263" s="25" t="n">
        <f aca="false">H263*K263</f>
        <v>225</v>
      </c>
      <c r="M263" s="25" t="n">
        <f aca="false">J263-L263</f>
        <v>85</v>
      </c>
    </row>
    <row r="264" customFormat="false" ht="15" hidden="false" customHeight="false" outlineLevel="0" collapsed="false">
      <c r="A264" s="23" t="s">
        <v>348</v>
      </c>
      <c r="B264" s="24" t="n">
        <v>45847</v>
      </c>
      <c r="C264" s="23" t="n">
        <f aca="false">MONTH(B264)</f>
        <v>7</v>
      </c>
      <c r="D264" s="23" t="s">
        <v>23</v>
      </c>
      <c r="E264" s="23" t="s">
        <v>85</v>
      </c>
      <c r="F264" s="23" t="s">
        <v>88</v>
      </c>
      <c r="G264" s="23" t="str">
        <f aca="false">IFERROR(INDEX(Products!$B$2:$B$13,MATCH(F264,Products!$A$2:$A$13,0)),"Unknown")</f>
        <v>Accessories</v>
      </c>
      <c r="H264" s="23" t="n">
        <v>15</v>
      </c>
      <c r="I264" s="25" t="n">
        <f aca="false">IFERROR(INDEX(Products!$C$2:$C$13,MATCH(F264,Products!$A$2:$A$13,0)),0)</f>
        <v>85</v>
      </c>
      <c r="J264" s="25" t="n">
        <f aca="false">H264*I264</f>
        <v>1275</v>
      </c>
      <c r="K264" s="25" t="n">
        <f aca="false">IFERROR(INDEX(Products!$D$2:$D$13,MATCH(F264,Products!$A$2:$A$13,0)),0)</f>
        <v>38</v>
      </c>
      <c r="L264" s="25" t="n">
        <f aca="false">H264*K264</f>
        <v>570</v>
      </c>
      <c r="M264" s="25" t="n">
        <f aca="false">J264-L264</f>
        <v>705</v>
      </c>
    </row>
    <row r="265" customFormat="false" ht="15" hidden="false" customHeight="false" outlineLevel="0" collapsed="false">
      <c r="A265" s="23" t="s">
        <v>349</v>
      </c>
      <c r="B265" s="24" t="n">
        <v>45847</v>
      </c>
      <c r="C265" s="23" t="n">
        <f aca="false">MONTH(B265)</f>
        <v>7</v>
      </c>
      <c r="D265" s="23" t="s">
        <v>19</v>
      </c>
      <c r="E265" s="23" t="s">
        <v>70</v>
      </c>
      <c r="F265" s="23" t="s">
        <v>104</v>
      </c>
      <c r="G265" s="23" t="str">
        <f aca="false">IFERROR(INDEX(Products!$B$2:$B$13,MATCH(F265,Products!$A$2:$A$13,0)),"Unknown")</f>
        <v>Phones</v>
      </c>
      <c r="H265" s="23" t="n">
        <v>1</v>
      </c>
      <c r="I265" s="25" t="n">
        <f aca="false">IFERROR(INDEX(Products!$C$2:$C$13,MATCH(F265,Products!$A$2:$A$13,0)),0)</f>
        <v>290</v>
      </c>
      <c r="J265" s="25" t="n">
        <f aca="false">H265*I265</f>
        <v>290</v>
      </c>
      <c r="K265" s="25" t="n">
        <f aca="false">IFERROR(INDEX(Products!$D$2:$D$13,MATCH(F265,Products!$A$2:$A$13,0)),0)</f>
        <v>205</v>
      </c>
      <c r="L265" s="25" t="n">
        <f aca="false">H265*K265</f>
        <v>205</v>
      </c>
      <c r="M265" s="25" t="n">
        <f aca="false">J265-L265</f>
        <v>85</v>
      </c>
    </row>
    <row r="266" customFormat="false" ht="15" hidden="false" customHeight="false" outlineLevel="0" collapsed="false">
      <c r="A266" s="23" t="s">
        <v>350</v>
      </c>
      <c r="B266" s="24" t="n">
        <v>45848</v>
      </c>
      <c r="C266" s="23" t="n">
        <f aca="false">MONTH(B266)</f>
        <v>7</v>
      </c>
      <c r="D266" s="23" t="s">
        <v>21</v>
      </c>
      <c r="E266" s="23" t="s">
        <v>87</v>
      </c>
      <c r="F266" s="23" t="s">
        <v>68</v>
      </c>
      <c r="G266" s="23" t="str">
        <f aca="false">IFERROR(INDEX(Products!$B$2:$B$13,MATCH(F266,Products!$A$2:$A$13,0)),"Unknown")</f>
        <v>Laptops</v>
      </c>
      <c r="H266" s="23" t="n">
        <v>5</v>
      </c>
      <c r="I266" s="25" t="n">
        <f aca="false">IFERROR(INDEX(Products!$C$2:$C$13,MATCH(F266,Products!$A$2:$A$13,0)),0)</f>
        <v>780</v>
      </c>
      <c r="J266" s="25" t="n">
        <f aca="false">H266*I266</f>
        <v>3900</v>
      </c>
      <c r="K266" s="25" t="n">
        <f aca="false">IFERROR(INDEX(Products!$D$2:$D$13,MATCH(F266,Products!$A$2:$A$13,0)),0)</f>
        <v>590</v>
      </c>
      <c r="L266" s="25" t="n">
        <f aca="false">H266*K266</f>
        <v>2950</v>
      </c>
      <c r="M266" s="25" t="n">
        <f aca="false">J266-L266</f>
        <v>950</v>
      </c>
    </row>
    <row r="267" customFormat="false" ht="15" hidden="false" customHeight="false" outlineLevel="0" collapsed="false">
      <c r="A267" s="23" t="s">
        <v>351</v>
      </c>
      <c r="B267" s="24" t="n">
        <v>45848</v>
      </c>
      <c r="C267" s="23" t="n">
        <f aca="false">MONTH(B267)</f>
        <v>7</v>
      </c>
      <c r="D267" s="23" t="s">
        <v>23</v>
      </c>
      <c r="E267" s="23" t="s">
        <v>85</v>
      </c>
      <c r="F267" s="23" t="s">
        <v>91</v>
      </c>
      <c r="G267" s="23" t="str">
        <f aca="false">IFERROR(INDEX(Products!$B$2:$B$13,MATCH(F267,Products!$A$2:$A$13,0)),"Unknown")</f>
        <v>Tablets</v>
      </c>
      <c r="H267" s="23" t="n">
        <v>1</v>
      </c>
      <c r="I267" s="25" t="n">
        <f aca="false">IFERROR(INDEX(Products!$C$2:$C$13,MATCH(F267,Products!$A$2:$A$13,0)),0)</f>
        <v>420</v>
      </c>
      <c r="J267" s="25" t="n">
        <f aca="false">H267*I267</f>
        <v>420</v>
      </c>
      <c r="K267" s="25" t="n">
        <f aca="false">IFERROR(INDEX(Products!$D$2:$D$13,MATCH(F267,Products!$A$2:$A$13,0)),0)</f>
        <v>300</v>
      </c>
      <c r="L267" s="25" t="n">
        <f aca="false">H267*K267</f>
        <v>300</v>
      </c>
      <c r="M267" s="25" t="n">
        <f aca="false">J267-L267</f>
        <v>120</v>
      </c>
    </row>
    <row r="268" customFormat="false" ht="15" hidden="false" customHeight="false" outlineLevel="0" collapsed="false">
      <c r="A268" s="23" t="s">
        <v>352</v>
      </c>
      <c r="B268" s="24" t="n">
        <v>45848</v>
      </c>
      <c r="C268" s="23" t="n">
        <f aca="false">MONTH(B268)</f>
        <v>7</v>
      </c>
      <c r="D268" s="23" t="s">
        <v>23</v>
      </c>
      <c r="E268" s="23" t="s">
        <v>85</v>
      </c>
      <c r="F268" s="23" t="s">
        <v>68</v>
      </c>
      <c r="G268" s="23" t="str">
        <f aca="false">IFERROR(INDEX(Products!$B$2:$B$13,MATCH(F268,Products!$A$2:$A$13,0)),"Unknown")</f>
        <v>Laptops</v>
      </c>
      <c r="H268" s="23" t="n">
        <v>1</v>
      </c>
      <c r="I268" s="25" t="n">
        <f aca="false">IFERROR(INDEX(Products!$C$2:$C$13,MATCH(F268,Products!$A$2:$A$13,0)),0)</f>
        <v>780</v>
      </c>
      <c r="J268" s="25" t="n">
        <f aca="false">H268*I268</f>
        <v>780</v>
      </c>
      <c r="K268" s="25" t="n">
        <f aca="false">IFERROR(INDEX(Products!$D$2:$D$13,MATCH(F268,Products!$A$2:$A$13,0)),0)</f>
        <v>590</v>
      </c>
      <c r="L268" s="25" t="n">
        <f aca="false">H268*K268</f>
        <v>590</v>
      </c>
      <c r="M268" s="25" t="n">
        <f aca="false">J268-L268</f>
        <v>190</v>
      </c>
    </row>
    <row r="269" customFormat="false" ht="15" hidden="false" customHeight="false" outlineLevel="0" collapsed="false">
      <c r="A269" s="23" t="s">
        <v>353</v>
      </c>
      <c r="B269" s="24" t="n">
        <v>45850</v>
      </c>
      <c r="C269" s="23" t="n">
        <f aca="false">MONTH(B269)</f>
        <v>7</v>
      </c>
      <c r="D269" s="23" t="s">
        <v>17</v>
      </c>
      <c r="E269" s="23" t="s">
        <v>116</v>
      </c>
      <c r="F269" s="23" t="s">
        <v>94</v>
      </c>
      <c r="G269" s="23" t="str">
        <f aca="false">IFERROR(INDEX(Products!$B$2:$B$13,MATCH(F269,Products!$A$2:$A$13,0)),"Unknown")</f>
        <v>Laptops</v>
      </c>
      <c r="H269" s="23" t="n">
        <v>1</v>
      </c>
      <c r="I269" s="25" t="n">
        <f aca="false">IFERROR(INDEX(Products!$C$2:$C$13,MATCH(F269,Products!$A$2:$A$13,0)),0)</f>
        <v>1350</v>
      </c>
      <c r="J269" s="25" t="n">
        <f aca="false">H269*I269</f>
        <v>1350</v>
      </c>
      <c r="K269" s="25" t="n">
        <f aca="false">IFERROR(INDEX(Products!$D$2:$D$13,MATCH(F269,Products!$A$2:$A$13,0)),0)</f>
        <v>1040</v>
      </c>
      <c r="L269" s="25" t="n">
        <f aca="false">H269*K269</f>
        <v>1040</v>
      </c>
      <c r="M269" s="25" t="n">
        <f aca="false">J269-L269</f>
        <v>310</v>
      </c>
    </row>
    <row r="270" customFormat="false" ht="15" hidden="false" customHeight="false" outlineLevel="0" collapsed="false">
      <c r="A270" s="23" t="s">
        <v>354</v>
      </c>
      <c r="B270" s="24" t="n">
        <v>45850</v>
      </c>
      <c r="C270" s="23" t="n">
        <f aca="false">MONTH(B270)</f>
        <v>7</v>
      </c>
      <c r="D270" s="23" t="s">
        <v>21</v>
      </c>
      <c r="E270" s="23" t="s">
        <v>87</v>
      </c>
      <c r="F270" s="23" t="s">
        <v>74</v>
      </c>
      <c r="G270" s="23" t="str">
        <f aca="false">IFERROR(INDEX(Products!$B$2:$B$13,MATCH(F270,Products!$A$2:$A$13,0)),"Unknown")</f>
        <v>Monitors</v>
      </c>
      <c r="H270" s="23" t="n">
        <v>4</v>
      </c>
      <c r="I270" s="25" t="n">
        <f aca="false">IFERROR(INDEX(Products!$C$2:$C$13,MATCH(F270,Products!$A$2:$A$13,0)),0)</f>
        <v>310</v>
      </c>
      <c r="J270" s="25" t="n">
        <f aca="false">H270*I270</f>
        <v>1240</v>
      </c>
      <c r="K270" s="25" t="n">
        <f aca="false">IFERROR(INDEX(Products!$D$2:$D$13,MATCH(F270,Products!$A$2:$A$13,0)),0)</f>
        <v>225</v>
      </c>
      <c r="L270" s="25" t="n">
        <f aca="false">H270*K270</f>
        <v>900</v>
      </c>
      <c r="M270" s="25" t="n">
        <f aca="false">J270-L270</f>
        <v>340</v>
      </c>
    </row>
    <row r="271" customFormat="false" ht="15" hidden="false" customHeight="false" outlineLevel="0" collapsed="false">
      <c r="A271" s="23" t="s">
        <v>355</v>
      </c>
      <c r="B271" s="24" t="n">
        <v>45851</v>
      </c>
      <c r="C271" s="23" t="n">
        <f aca="false">MONTH(B271)</f>
        <v>7</v>
      </c>
      <c r="D271" s="23" t="s">
        <v>21</v>
      </c>
      <c r="E271" s="23" t="s">
        <v>87</v>
      </c>
      <c r="F271" s="23" t="s">
        <v>79</v>
      </c>
      <c r="G271" s="23" t="str">
        <f aca="false">IFERROR(INDEX(Products!$B$2:$B$13,MATCH(F271,Products!$A$2:$A$13,0)),"Unknown")</f>
        <v>Accessories</v>
      </c>
      <c r="H271" s="23" t="n">
        <v>6</v>
      </c>
      <c r="I271" s="25" t="n">
        <f aca="false">IFERROR(INDEX(Products!$C$2:$C$13,MATCH(F271,Products!$A$2:$A$13,0)),0)</f>
        <v>190</v>
      </c>
      <c r="J271" s="25" t="n">
        <f aca="false">H271*I271</f>
        <v>1140</v>
      </c>
      <c r="K271" s="25" t="n">
        <f aca="false">IFERROR(INDEX(Products!$D$2:$D$13,MATCH(F271,Products!$A$2:$A$13,0)),0)</f>
        <v>115</v>
      </c>
      <c r="L271" s="25" t="n">
        <f aca="false">H271*K271</f>
        <v>690</v>
      </c>
      <c r="M271" s="25" t="n">
        <f aca="false">J271-L271</f>
        <v>450</v>
      </c>
    </row>
    <row r="272" customFormat="false" ht="15" hidden="false" customHeight="false" outlineLevel="0" collapsed="false">
      <c r="A272" s="23" t="s">
        <v>356</v>
      </c>
      <c r="B272" s="24" t="n">
        <v>45852</v>
      </c>
      <c r="C272" s="23" t="n">
        <f aca="false">MONTH(B272)</f>
        <v>7</v>
      </c>
      <c r="D272" s="23" t="s">
        <v>21</v>
      </c>
      <c r="E272" s="23" t="s">
        <v>87</v>
      </c>
      <c r="F272" s="23" t="s">
        <v>83</v>
      </c>
      <c r="G272" s="23" t="str">
        <f aca="false">IFERROR(INDEX(Products!$B$2:$B$13,MATCH(F272,Products!$A$2:$A$13,0)),"Unknown")</f>
        <v>Phones</v>
      </c>
      <c r="H272" s="23" t="n">
        <v>1</v>
      </c>
      <c r="I272" s="25" t="n">
        <f aca="false">IFERROR(INDEX(Products!$C$2:$C$13,MATCH(F272,Products!$A$2:$A$13,0)),0)</f>
        <v>640</v>
      </c>
      <c r="J272" s="25" t="n">
        <f aca="false">H272*I272</f>
        <v>640</v>
      </c>
      <c r="K272" s="25" t="n">
        <f aca="false">IFERROR(INDEX(Products!$D$2:$D$13,MATCH(F272,Products!$A$2:$A$13,0)),0)</f>
        <v>470</v>
      </c>
      <c r="L272" s="25" t="n">
        <f aca="false">H272*K272</f>
        <v>470</v>
      </c>
      <c r="M272" s="25" t="n">
        <f aca="false">J272-L272</f>
        <v>170</v>
      </c>
    </row>
    <row r="273" customFormat="false" ht="15" hidden="false" customHeight="false" outlineLevel="0" collapsed="false">
      <c r="A273" s="23" t="s">
        <v>357</v>
      </c>
      <c r="B273" s="24" t="n">
        <v>45852</v>
      </c>
      <c r="C273" s="23" t="n">
        <f aca="false">MONTH(B273)</f>
        <v>7</v>
      </c>
      <c r="D273" s="23" t="s">
        <v>17</v>
      </c>
      <c r="E273" s="23" t="s">
        <v>116</v>
      </c>
      <c r="F273" s="23" t="s">
        <v>83</v>
      </c>
      <c r="G273" s="23" t="str">
        <f aca="false">IFERROR(INDEX(Products!$B$2:$B$13,MATCH(F273,Products!$A$2:$A$13,0)),"Unknown")</f>
        <v>Phones</v>
      </c>
      <c r="H273" s="23" t="n">
        <v>5</v>
      </c>
      <c r="I273" s="25" t="n">
        <f aca="false">IFERROR(INDEX(Products!$C$2:$C$13,MATCH(F273,Products!$A$2:$A$13,0)),0)</f>
        <v>640</v>
      </c>
      <c r="J273" s="25" t="n">
        <f aca="false">H273*I273</f>
        <v>3200</v>
      </c>
      <c r="K273" s="25" t="n">
        <f aca="false">IFERROR(INDEX(Products!$D$2:$D$13,MATCH(F273,Products!$A$2:$A$13,0)),0)</f>
        <v>470</v>
      </c>
      <c r="L273" s="25" t="n">
        <f aca="false">H273*K273</f>
        <v>2350</v>
      </c>
      <c r="M273" s="25" t="n">
        <f aca="false">J273-L273</f>
        <v>850</v>
      </c>
    </row>
    <row r="274" customFormat="false" ht="15" hidden="false" customHeight="false" outlineLevel="0" collapsed="false">
      <c r="A274" s="23" t="s">
        <v>358</v>
      </c>
      <c r="B274" s="24" t="n">
        <v>45852</v>
      </c>
      <c r="C274" s="23" t="n">
        <f aca="false">MONTH(B274)</f>
        <v>7</v>
      </c>
      <c r="D274" s="23" t="s">
        <v>17</v>
      </c>
      <c r="E274" s="23" t="s">
        <v>67</v>
      </c>
      <c r="F274" s="23" t="s">
        <v>83</v>
      </c>
      <c r="G274" s="23" t="str">
        <f aca="false">IFERROR(INDEX(Products!$B$2:$B$13,MATCH(F274,Products!$A$2:$A$13,0)),"Unknown")</f>
        <v>Phones</v>
      </c>
      <c r="H274" s="23" t="n">
        <v>4</v>
      </c>
      <c r="I274" s="25" t="n">
        <f aca="false">IFERROR(INDEX(Products!$C$2:$C$13,MATCH(F274,Products!$A$2:$A$13,0)),0)</f>
        <v>640</v>
      </c>
      <c r="J274" s="25" t="n">
        <f aca="false">H274*I274</f>
        <v>2560</v>
      </c>
      <c r="K274" s="25" t="n">
        <f aca="false">IFERROR(INDEX(Products!$D$2:$D$13,MATCH(F274,Products!$A$2:$A$13,0)),0)</f>
        <v>470</v>
      </c>
      <c r="L274" s="25" t="n">
        <f aca="false">H274*K274</f>
        <v>1880</v>
      </c>
      <c r="M274" s="25" t="n">
        <f aca="false">J274-L274</f>
        <v>680</v>
      </c>
    </row>
    <row r="275" customFormat="false" ht="15" hidden="false" customHeight="false" outlineLevel="0" collapsed="false">
      <c r="A275" s="23" t="s">
        <v>359</v>
      </c>
      <c r="B275" s="24" t="n">
        <v>45853</v>
      </c>
      <c r="C275" s="23" t="n">
        <f aca="false">MONTH(B275)</f>
        <v>7</v>
      </c>
      <c r="D275" s="23" t="s">
        <v>17</v>
      </c>
      <c r="E275" s="23" t="s">
        <v>116</v>
      </c>
      <c r="F275" s="23" t="s">
        <v>91</v>
      </c>
      <c r="G275" s="23" t="str">
        <f aca="false">IFERROR(INDEX(Products!$B$2:$B$13,MATCH(F275,Products!$A$2:$A$13,0)),"Unknown")</f>
        <v>Tablets</v>
      </c>
      <c r="H275" s="23" t="n">
        <v>2</v>
      </c>
      <c r="I275" s="25" t="n">
        <f aca="false">IFERROR(INDEX(Products!$C$2:$C$13,MATCH(F275,Products!$A$2:$A$13,0)),0)</f>
        <v>420</v>
      </c>
      <c r="J275" s="25" t="n">
        <f aca="false">H275*I275</f>
        <v>840</v>
      </c>
      <c r="K275" s="25" t="n">
        <f aca="false">IFERROR(INDEX(Products!$D$2:$D$13,MATCH(F275,Products!$A$2:$A$13,0)),0)</f>
        <v>300</v>
      </c>
      <c r="L275" s="25" t="n">
        <f aca="false">H275*K275</f>
        <v>600</v>
      </c>
      <c r="M275" s="25" t="n">
        <f aca="false">J275-L275</f>
        <v>240</v>
      </c>
    </row>
    <row r="276" customFormat="false" ht="15" hidden="false" customHeight="false" outlineLevel="0" collapsed="false">
      <c r="A276" s="23" t="s">
        <v>360</v>
      </c>
      <c r="B276" s="24" t="n">
        <v>45856</v>
      </c>
      <c r="C276" s="23" t="n">
        <f aca="false">MONTH(B276)</f>
        <v>7</v>
      </c>
      <c r="D276" s="23" t="s">
        <v>23</v>
      </c>
      <c r="E276" s="23" t="s">
        <v>77</v>
      </c>
      <c r="F276" s="23" t="s">
        <v>88</v>
      </c>
      <c r="G276" s="23" t="str">
        <f aca="false">IFERROR(INDEX(Products!$B$2:$B$13,MATCH(F276,Products!$A$2:$A$13,0)),"Unknown")</f>
        <v>Accessories</v>
      </c>
      <c r="H276" s="23" t="n">
        <v>9</v>
      </c>
      <c r="I276" s="25" t="n">
        <f aca="false">IFERROR(INDEX(Products!$C$2:$C$13,MATCH(F276,Products!$A$2:$A$13,0)),0)</f>
        <v>85</v>
      </c>
      <c r="J276" s="25" t="n">
        <f aca="false">H276*I276</f>
        <v>765</v>
      </c>
      <c r="K276" s="25" t="n">
        <f aca="false">IFERROR(INDEX(Products!$D$2:$D$13,MATCH(F276,Products!$A$2:$A$13,0)),0)</f>
        <v>38</v>
      </c>
      <c r="L276" s="25" t="n">
        <f aca="false">H276*K276</f>
        <v>342</v>
      </c>
      <c r="M276" s="25" t="n">
        <f aca="false">J276-L276</f>
        <v>423</v>
      </c>
    </row>
    <row r="277" customFormat="false" ht="15" hidden="false" customHeight="false" outlineLevel="0" collapsed="false">
      <c r="A277" s="23" t="s">
        <v>361</v>
      </c>
      <c r="B277" s="24" t="n">
        <v>45857</v>
      </c>
      <c r="C277" s="23" t="n">
        <f aca="false">MONTH(B277)</f>
        <v>7</v>
      </c>
      <c r="D277" s="23" t="s">
        <v>23</v>
      </c>
      <c r="E277" s="23" t="s">
        <v>85</v>
      </c>
      <c r="F277" s="23" t="s">
        <v>79</v>
      </c>
      <c r="G277" s="23" t="str">
        <f aca="false">IFERROR(INDEX(Products!$B$2:$B$13,MATCH(F277,Products!$A$2:$A$13,0)),"Unknown")</f>
        <v>Accessories</v>
      </c>
      <c r="H277" s="23" t="n">
        <v>12</v>
      </c>
      <c r="I277" s="25" t="n">
        <f aca="false">IFERROR(INDEX(Products!$C$2:$C$13,MATCH(F277,Products!$A$2:$A$13,0)),0)</f>
        <v>190</v>
      </c>
      <c r="J277" s="25" t="n">
        <f aca="false">H277*I277</f>
        <v>2280</v>
      </c>
      <c r="K277" s="25" t="n">
        <f aca="false">IFERROR(INDEX(Products!$D$2:$D$13,MATCH(F277,Products!$A$2:$A$13,0)),0)</f>
        <v>115</v>
      </c>
      <c r="L277" s="25" t="n">
        <f aca="false">H277*K277</f>
        <v>1380</v>
      </c>
      <c r="M277" s="25" t="n">
        <f aca="false">J277-L277</f>
        <v>900</v>
      </c>
    </row>
    <row r="278" customFormat="false" ht="15" hidden="false" customHeight="false" outlineLevel="0" collapsed="false">
      <c r="A278" s="23" t="s">
        <v>362</v>
      </c>
      <c r="B278" s="24" t="n">
        <v>45858</v>
      </c>
      <c r="C278" s="23" t="n">
        <f aca="false">MONTH(B278)</f>
        <v>7</v>
      </c>
      <c r="D278" s="23" t="s">
        <v>23</v>
      </c>
      <c r="E278" s="23" t="s">
        <v>85</v>
      </c>
      <c r="F278" s="23" t="s">
        <v>96</v>
      </c>
      <c r="G278" s="23" t="str">
        <f aca="false">IFERROR(INDEX(Products!$B$2:$B$13,MATCH(F278,Products!$A$2:$A$13,0)),"Unknown")</f>
        <v>Tablets</v>
      </c>
      <c r="H278" s="23" t="n">
        <v>1</v>
      </c>
      <c r="I278" s="25" t="n">
        <f aca="false">IFERROR(INDEX(Products!$C$2:$C$13,MATCH(F278,Products!$A$2:$A$13,0)),0)</f>
        <v>260</v>
      </c>
      <c r="J278" s="25" t="n">
        <f aca="false">H278*I278</f>
        <v>260</v>
      </c>
      <c r="K278" s="25" t="n">
        <f aca="false">IFERROR(INDEX(Products!$D$2:$D$13,MATCH(F278,Products!$A$2:$A$13,0)),0)</f>
        <v>180</v>
      </c>
      <c r="L278" s="25" t="n">
        <f aca="false">H278*K278</f>
        <v>180</v>
      </c>
      <c r="M278" s="25" t="n">
        <f aca="false">J278-L278</f>
        <v>80</v>
      </c>
    </row>
    <row r="279" customFormat="false" ht="15" hidden="false" customHeight="false" outlineLevel="0" collapsed="false">
      <c r="A279" s="23" t="s">
        <v>363</v>
      </c>
      <c r="B279" s="24" t="n">
        <v>45860</v>
      </c>
      <c r="C279" s="23" t="n">
        <f aca="false">MONTH(B279)</f>
        <v>7</v>
      </c>
      <c r="D279" s="23" t="s">
        <v>17</v>
      </c>
      <c r="E279" s="23" t="s">
        <v>116</v>
      </c>
      <c r="F279" s="23" t="s">
        <v>88</v>
      </c>
      <c r="G279" s="23" t="str">
        <f aca="false">IFERROR(INDEX(Products!$B$2:$B$13,MATCH(F279,Products!$A$2:$A$13,0)),"Unknown")</f>
        <v>Accessories</v>
      </c>
      <c r="H279" s="23" t="n">
        <v>12</v>
      </c>
      <c r="I279" s="25" t="n">
        <f aca="false">IFERROR(INDEX(Products!$C$2:$C$13,MATCH(F279,Products!$A$2:$A$13,0)),0)</f>
        <v>85</v>
      </c>
      <c r="J279" s="25" t="n">
        <f aca="false">H279*I279</f>
        <v>1020</v>
      </c>
      <c r="K279" s="25" t="n">
        <f aca="false">IFERROR(INDEX(Products!$D$2:$D$13,MATCH(F279,Products!$A$2:$A$13,0)),0)</f>
        <v>38</v>
      </c>
      <c r="L279" s="25" t="n">
        <f aca="false">H279*K279</f>
        <v>456</v>
      </c>
      <c r="M279" s="25" t="n">
        <f aca="false">J279-L279</f>
        <v>564</v>
      </c>
    </row>
    <row r="280" customFormat="false" ht="15" hidden="false" customHeight="false" outlineLevel="0" collapsed="false">
      <c r="A280" s="23" t="s">
        <v>364</v>
      </c>
      <c r="B280" s="24" t="n">
        <v>45860</v>
      </c>
      <c r="C280" s="23" t="n">
        <f aca="false">MONTH(B280)</f>
        <v>7</v>
      </c>
      <c r="D280" s="23" t="s">
        <v>21</v>
      </c>
      <c r="E280" s="23" t="s">
        <v>87</v>
      </c>
      <c r="F280" s="23" t="s">
        <v>71</v>
      </c>
      <c r="G280" s="23" t="str">
        <f aca="false">IFERROR(INDEX(Products!$B$2:$B$13,MATCH(F280,Products!$A$2:$A$13,0)),"Unknown")</f>
        <v>Accessories</v>
      </c>
      <c r="H280" s="23" t="n">
        <v>3</v>
      </c>
      <c r="I280" s="25" t="n">
        <f aca="false">IFERROR(INDEX(Products!$C$2:$C$13,MATCH(F280,Products!$A$2:$A$13,0)),0)</f>
        <v>45</v>
      </c>
      <c r="J280" s="25" t="n">
        <f aca="false">H280*I280</f>
        <v>135</v>
      </c>
      <c r="K280" s="25" t="n">
        <f aca="false">IFERROR(INDEX(Products!$D$2:$D$13,MATCH(F280,Products!$A$2:$A$13,0)),0)</f>
        <v>18</v>
      </c>
      <c r="L280" s="25" t="n">
        <f aca="false">H280*K280</f>
        <v>54</v>
      </c>
      <c r="M280" s="25" t="n">
        <f aca="false">J280-L280</f>
        <v>81</v>
      </c>
    </row>
    <row r="281" customFormat="false" ht="15" hidden="false" customHeight="false" outlineLevel="0" collapsed="false">
      <c r="A281" s="23" t="s">
        <v>365</v>
      </c>
      <c r="B281" s="24" t="n">
        <v>45862</v>
      </c>
      <c r="C281" s="23" t="n">
        <f aca="false">MONTH(B281)</f>
        <v>7</v>
      </c>
      <c r="D281" s="23" t="s">
        <v>19</v>
      </c>
      <c r="E281" s="23" t="s">
        <v>70</v>
      </c>
      <c r="F281" s="23" t="s">
        <v>104</v>
      </c>
      <c r="G281" s="23" t="str">
        <f aca="false">IFERROR(INDEX(Products!$B$2:$B$13,MATCH(F281,Products!$A$2:$A$13,0)),"Unknown")</f>
        <v>Phones</v>
      </c>
      <c r="H281" s="23" t="n">
        <v>5</v>
      </c>
      <c r="I281" s="25" t="n">
        <f aca="false">IFERROR(INDEX(Products!$C$2:$C$13,MATCH(F281,Products!$A$2:$A$13,0)),0)</f>
        <v>290</v>
      </c>
      <c r="J281" s="25" t="n">
        <f aca="false">H281*I281</f>
        <v>1450</v>
      </c>
      <c r="K281" s="25" t="n">
        <f aca="false">IFERROR(INDEX(Products!$D$2:$D$13,MATCH(F281,Products!$A$2:$A$13,0)),0)</f>
        <v>205</v>
      </c>
      <c r="L281" s="25" t="n">
        <f aca="false">H281*K281</f>
        <v>1025</v>
      </c>
      <c r="M281" s="25" t="n">
        <f aca="false">J281-L281</f>
        <v>425</v>
      </c>
    </row>
    <row r="282" customFormat="false" ht="15" hidden="false" customHeight="false" outlineLevel="0" collapsed="false">
      <c r="A282" s="23" t="s">
        <v>366</v>
      </c>
      <c r="B282" s="24" t="n">
        <v>45863</v>
      </c>
      <c r="C282" s="23" t="n">
        <f aca="false">MONTH(B282)</f>
        <v>7</v>
      </c>
      <c r="D282" s="23" t="s">
        <v>19</v>
      </c>
      <c r="E282" s="23" t="s">
        <v>73</v>
      </c>
      <c r="F282" s="23" t="s">
        <v>68</v>
      </c>
      <c r="G282" s="23" t="str">
        <f aca="false">IFERROR(INDEX(Products!$B$2:$B$13,MATCH(F282,Products!$A$2:$A$13,0)),"Unknown")</f>
        <v>Laptops</v>
      </c>
      <c r="H282" s="23" t="n">
        <v>1</v>
      </c>
      <c r="I282" s="25" t="n">
        <f aca="false">IFERROR(INDEX(Products!$C$2:$C$13,MATCH(F282,Products!$A$2:$A$13,0)),0)</f>
        <v>780</v>
      </c>
      <c r="J282" s="25" t="n">
        <f aca="false">H282*I282</f>
        <v>780</v>
      </c>
      <c r="K282" s="25" t="n">
        <f aca="false">IFERROR(INDEX(Products!$D$2:$D$13,MATCH(F282,Products!$A$2:$A$13,0)),0)</f>
        <v>590</v>
      </c>
      <c r="L282" s="25" t="n">
        <f aca="false">H282*K282</f>
        <v>590</v>
      </c>
      <c r="M282" s="25" t="n">
        <f aca="false">J282-L282</f>
        <v>190</v>
      </c>
    </row>
    <row r="283" customFormat="false" ht="15" hidden="false" customHeight="false" outlineLevel="0" collapsed="false">
      <c r="A283" s="23" t="s">
        <v>367</v>
      </c>
      <c r="B283" s="24" t="n">
        <v>45863</v>
      </c>
      <c r="C283" s="23" t="n">
        <f aca="false">MONTH(B283)</f>
        <v>7</v>
      </c>
      <c r="D283" s="23" t="s">
        <v>21</v>
      </c>
      <c r="E283" s="23" t="s">
        <v>90</v>
      </c>
      <c r="F283" s="23" t="s">
        <v>104</v>
      </c>
      <c r="G283" s="23" t="str">
        <f aca="false">IFERROR(INDEX(Products!$B$2:$B$13,MATCH(F283,Products!$A$2:$A$13,0)),"Unknown")</f>
        <v>Phones</v>
      </c>
      <c r="H283" s="23" t="n">
        <v>1</v>
      </c>
      <c r="I283" s="25" t="n">
        <f aca="false">IFERROR(INDEX(Products!$C$2:$C$13,MATCH(F283,Products!$A$2:$A$13,0)),0)</f>
        <v>290</v>
      </c>
      <c r="J283" s="25" t="n">
        <f aca="false">H283*I283</f>
        <v>290</v>
      </c>
      <c r="K283" s="25" t="n">
        <f aca="false">IFERROR(INDEX(Products!$D$2:$D$13,MATCH(F283,Products!$A$2:$A$13,0)),0)</f>
        <v>205</v>
      </c>
      <c r="L283" s="25" t="n">
        <f aca="false">H283*K283</f>
        <v>205</v>
      </c>
      <c r="M283" s="25" t="n">
        <f aca="false">J283-L283</f>
        <v>85</v>
      </c>
    </row>
    <row r="284" customFormat="false" ht="15" hidden="false" customHeight="false" outlineLevel="0" collapsed="false">
      <c r="A284" s="23" t="s">
        <v>368</v>
      </c>
      <c r="B284" s="24" t="n">
        <v>45863</v>
      </c>
      <c r="C284" s="23" t="n">
        <f aca="false">MONTH(B284)</f>
        <v>7</v>
      </c>
      <c r="D284" s="23" t="s">
        <v>17</v>
      </c>
      <c r="E284" s="23" t="s">
        <v>116</v>
      </c>
      <c r="F284" s="23" t="s">
        <v>94</v>
      </c>
      <c r="G284" s="23" t="str">
        <f aca="false">IFERROR(INDEX(Products!$B$2:$B$13,MATCH(F284,Products!$A$2:$A$13,0)),"Unknown")</f>
        <v>Laptops</v>
      </c>
      <c r="H284" s="23" t="n">
        <v>5</v>
      </c>
      <c r="I284" s="25" t="n">
        <f aca="false">IFERROR(INDEX(Products!$C$2:$C$13,MATCH(F284,Products!$A$2:$A$13,0)),0)</f>
        <v>1350</v>
      </c>
      <c r="J284" s="25" t="n">
        <f aca="false">H284*I284</f>
        <v>6750</v>
      </c>
      <c r="K284" s="25" t="n">
        <f aca="false">IFERROR(INDEX(Products!$D$2:$D$13,MATCH(F284,Products!$A$2:$A$13,0)),0)</f>
        <v>1040</v>
      </c>
      <c r="L284" s="25" t="n">
        <f aca="false">H284*K284</f>
        <v>5200</v>
      </c>
      <c r="M284" s="25" t="n">
        <f aca="false">J284-L284</f>
        <v>1550</v>
      </c>
    </row>
    <row r="285" customFormat="false" ht="15" hidden="false" customHeight="false" outlineLevel="0" collapsed="false">
      <c r="A285" s="23" t="s">
        <v>369</v>
      </c>
      <c r="B285" s="24" t="n">
        <v>45863</v>
      </c>
      <c r="C285" s="23" t="n">
        <f aca="false">MONTH(B285)</f>
        <v>7</v>
      </c>
      <c r="D285" s="23" t="s">
        <v>23</v>
      </c>
      <c r="E285" s="23" t="s">
        <v>85</v>
      </c>
      <c r="F285" s="23" t="s">
        <v>88</v>
      </c>
      <c r="G285" s="23" t="str">
        <f aca="false">IFERROR(INDEX(Products!$B$2:$B$13,MATCH(F285,Products!$A$2:$A$13,0)),"Unknown")</f>
        <v>Accessories</v>
      </c>
      <c r="H285" s="23" t="n">
        <v>9</v>
      </c>
      <c r="I285" s="25" t="n">
        <f aca="false">IFERROR(INDEX(Products!$C$2:$C$13,MATCH(F285,Products!$A$2:$A$13,0)),0)</f>
        <v>85</v>
      </c>
      <c r="J285" s="25" t="n">
        <f aca="false">H285*I285</f>
        <v>765</v>
      </c>
      <c r="K285" s="25" t="n">
        <f aca="false">IFERROR(INDEX(Products!$D$2:$D$13,MATCH(F285,Products!$A$2:$A$13,0)),0)</f>
        <v>38</v>
      </c>
      <c r="L285" s="25" t="n">
        <f aca="false">H285*K285</f>
        <v>342</v>
      </c>
      <c r="M285" s="25" t="n">
        <f aca="false">J285-L285</f>
        <v>423</v>
      </c>
    </row>
    <row r="286" customFormat="false" ht="15" hidden="false" customHeight="false" outlineLevel="0" collapsed="false">
      <c r="A286" s="23" t="s">
        <v>370</v>
      </c>
      <c r="B286" s="24" t="n">
        <v>45863</v>
      </c>
      <c r="C286" s="23" t="n">
        <f aca="false">MONTH(B286)</f>
        <v>7</v>
      </c>
      <c r="D286" s="23" t="s">
        <v>21</v>
      </c>
      <c r="E286" s="23" t="s">
        <v>87</v>
      </c>
      <c r="F286" s="23" t="s">
        <v>88</v>
      </c>
      <c r="G286" s="23" t="str">
        <f aca="false">IFERROR(INDEX(Products!$B$2:$B$13,MATCH(F286,Products!$A$2:$A$13,0)),"Unknown")</f>
        <v>Accessories</v>
      </c>
      <c r="H286" s="23" t="n">
        <v>3</v>
      </c>
      <c r="I286" s="25" t="n">
        <f aca="false">IFERROR(INDEX(Products!$C$2:$C$13,MATCH(F286,Products!$A$2:$A$13,0)),0)</f>
        <v>85</v>
      </c>
      <c r="J286" s="25" t="n">
        <f aca="false">H286*I286</f>
        <v>255</v>
      </c>
      <c r="K286" s="25" t="n">
        <f aca="false">IFERROR(INDEX(Products!$D$2:$D$13,MATCH(F286,Products!$A$2:$A$13,0)),0)</f>
        <v>38</v>
      </c>
      <c r="L286" s="25" t="n">
        <f aca="false">H286*K286</f>
        <v>114</v>
      </c>
      <c r="M286" s="25" t="n">
        <f aca="false">J286-L286</f>
        <v>141</v>
      </c>
    </row>
    <row r="287" customFormat="false" ht="15" hidden="false" customHeight="false" outlineLevel="0" collapsed="false">
      <c r="A287" s="23" t="s">
        <v>371</v>
      </c>
      <c r="B287" s="24" t="n">
        <v>45863</v>
      </c>
      <c r="C287" s="23" t="n">
        <f aca="false">MONTH(B287)</f>
        <v>7</v>
      </c>
      <c r="D287" s="23" t="s">
        <v>23</v>
      </c>
      <c r="E287" s="23" t="s">
        <v>77</v>
      </c>
      <c r="F287" s="23" t="s">
        <v>94</v>
      </c>
      <c r="G287" s="23" t="str">
        <f aca="false">IFERROR(INDEX(Products!$B$2:$B$13,MATCH(F287,Products!$A$2:$A$13,0)),"Unknown")</f>
        <v>Laptops</v>
      </c>
      <c r="H287" s="23" t="n">
        <v>1</v>
      </c>
      <c r="I287" s="25" t="n">
        <f aca="false">IFERROR(INDEX(Products!$C$2:$C$13,MATCH(F287,Products!$A$2:$A$13,0)),0)</f>
        <v>1350</v>
      </c>
      <c r="J287" s="25" t="n">
        <f aca="false">H287*I287</f>
        <v>1350</v>
      </c>
      <c r="K287" s="25" t="n">
        <f aca="false">IFERROR(INDEX(Products!$D$2:$D$13,MATCH(F287,Products!$A$2:$A$13,0)),0)</f>
        <v>1040</v>
      </c>
      <c r="L287" s="25" t="n">
        <f aca="false">H287*K287</f>
        <v>1040</v>
      </c>
      <c r="M287" s="25" t="n">
        <f aca="false">J287-L287</f>
        <v>310</v>
      </c>
    </row>
    <row r="288" customFormat="false" ht="15" hidden="false" customHeight="false" outlineLevel="0" collapsed="false">
      <c r="A288" s="23" t="s">
        <v>372</v>
      </c>
      <c r="B288" s="24" t="n">
        <v>45864</v>
      </c>
      <c r="C288" s="23" t="n">
        <f aca="false">MONTH(B288)</f>
        <v>7</v>
      </c>
      <c r="D288" s="23" t="s">
        <v>23</v>
      </c>
      <c r="E288" s="23" t="s">
        <v>77</v>
      </c>
      <c r="F288" s="23" t="s">
        <v>71</v>
      </c>
      <c r="G288" s="23" t="str">
        <f aca="false">IFERROR(INDEX(Products!$B$2:$B$13,MATCH(F288,Products!$A$2:$A$13,0)),"Unknown")</f>
        <v>Accessories</v>
      </c>
      <c r="H288" s="23" t="n">
        <v>9</v>
      </c>
      <c r="I288" s="25" t="n">
        <f aca="false">IFERROR(INDEX(Products!$C$2:$C$13,MATCH(F288,Products!$A$2:$A$13,0)),0)</f>
        <v>45</v>
      </c>
      <c r="J288" s="25" t="n">
        <f aca="false">H288*I288</f>
        <v>405</v>
      </c>
      <c r="K288" s="25" t="n">
        <f aca="false">IFERROR(INDEX(Products!$D$2:$D$13,MATCH(F288,Products!$A$2:$A$13,0)),0)</f>
        <v>18</v>
      </c>
      <c r="L288" s="25" t="n">
        <f aca="false">H288*K288</f>
        <v>162</v>
      </c>
      <c r="M288" s="25" t="n">
        <f aca="false">J288-L288</f>
        <v>243</v>
      </c>
    </row>
    <row r="289" customFormat="false" ht="15" hidden="false" customHeight="false" outlineLevel="0" collapsed="false">
      <c r="A289" s="23" t="s">
        <v>373</v>
      </c>
      <c r="B289" s="24" t="n">
        <v>45864</v>
      </c>
      <c r="C289" s="23" t="n">
        <f aca="false">MONTH(B289)</f>
        <v>7</v>
      </c>
      <c r="D289" s="23" t="s">
        <v>21</v>
      </c>
      <c r="E289" s="23" t="s">
        <v>90</v>
      </c>
      <c r="F289" s="23" t="s">
        <v>88</v>
      </c>
      <c r="G289" s="23" t="str">
        <f aca="false">IFERROR(INDEX(Products!$B$2:$B$13,MATCH(F289,Products!$A$2:$A$13,0)),"Unknown")</f>
        <v>Accessories</v>
      </c>
      <c r="H289" s="23" t="n">
        <v>9</v>
      </c>
      <c r="I289" s="25" t="n">
        <f aca="false">IFERROR(INDEX(Products!$C$2:$C$13,MATCH(F289,Products!$A$2:$A$13,0)),0)</f>
        <v>85</v>
      </c>
      <c r="J289" s="25" t="n">
        <f aca="false">H289*I289</f>
        <v>765</v>
      </c>
      <c r="K289" s="25" t="n">
        <f aca="false">IFERROR(INDEX(Products!$D$2:$D$13,MATCH(F289,Products!$A$2:$A$13,0)),0)</f>
        <v>38</v>
      </c>
      <c r="L289" s="25" t="n">
        <f aca="false">H289*K289</f>
        <v>342</v>
      </c>
      <c r="M289" s="25" t="n">
        <f aca="false">J289-L289</f>
        <v>423</v>
      </c>
    </row>
    <row r="290" customFormat="false" ht="15" hidden="false" customHeight="false" outlineLevel="0" collapsed="false">
      <c r="A290" s="23" t="s">
        <v>374</v>
      </c>
      <c r="B290" s="24" t="n">
        <v>45865</v>
      </c>
      <c r="C290" s="23" t="n">
        <f aca="false">MONTH(B290)</f>
        <v>7</v>
      </c>
      <c r="D290" s="23" t="s">
        <v>21</v>
      </c>
      <c r="E290" s="23" t="s">
        <v>87</v>
      </c>
      <c r="F290" s="23" t="s">
        <v>68</v>
      </c>
      <c r="G290" s="23" t="str">
        <f aca="false">IFERROR(INDEX(Products!$B$2:$B$13,MATCH(F290,Products!$A$2:$A$13,0)),"Unknown")</f>
        <v>Laptops</v>
      </c>
      <c r="H290" s="23" t="n">
        <v>1</v>
      </c>
      <c r="I290" s="25" t="n">
        <f aca="false">IFERROR(INDEX(Products!$C$2:$C$13,MATCH(F290,Products!$A$2:$A$13,0)),0)</f>
        <v>780</v>
      </c>
      <c r="J290" s="25" t="n">
        <f aca="false">H290*I290</f>
        <v>780</v>
      </c>
      <c r="K290" s="25" t="n">
        <f aca="false">IFERROR(INDEX(Products!$D$2:$D$13,MATCH(F290,Products!$A$2:$A$13,0)),0)</f>
        <v>590</v>
      </c>
      <c r="L290" s="25" t="n">
        <f aca="false">H290*K290</f>
        <v>590</v>
      </c>
      <c r="M290" s="25" t="n">
        <f aca="false">J290-L290</f>
        <v>190</v>
      </c>
    </row>
    <row r="291" customFormat="false" ht="15" hidden="false" customHeight="false" outlineLevel="0" collapsed="false">
      <c r="A291" s="23" t="s">
        <v>375</v>
      </c>
      <c r="B291" s="24" t="n">
        <v>45870</v>
      </c>
      <c r="C291" s="23" t="n">
        <f aca="false">MONTH(B291)</f>
        <v>8</v>
      </c>
      <c r="D291" s="23" t="s">
        <v>19</v>
      </c>
      <c r="E291" s="23" t="s">
        <v>73</v>
      </c>
      <c r="F291" s="23" t="s">
        <v>96</v>
      </c>
      <c r="G291" s="23" t="str">
        <f aca="false">IFERROR(INDEX(Products!$B$2:$B$13,MATCH(F291,Products!$A$2:$A$13,0)),"Unknown")</f>
        <v>Tablets</v>
      </c>
      <c r="H291" s="23" t="n">
        <v>4</v>
      </c>
      <c r="I291" s="25" t="n">
        <f aca="false">IFERROR(INDEX(Products!$C$2:$C$13,MATCH(F291,Products!$A$2:$A$13,0)),0)</f>
        <v>260</v>
      </c>
      <c r="J291" s="25" t="n">
        <f aca="false">H291*I291</f>
        <v>1040</v>
      </c>
      <c r="K291" s="25" t="n">
        <f aca="false">IFERROR(INDEX(Products!$D$2:$D$13,MATCH(F291,Products!$A$2:$A$13,0)),0)</f>
        <v>180</v>
      </c>
      <c r="L291" s="25" t="n">
        <f aca="false">H291*K291</f>
        <v>720</v>
      </c>
      <c r="M291" s="25" t="n">
        <f aca="false">J291-L291</f>
        <v>320</v>
      </c>
    </row>
    <row r="292" customFormat="false" ht="15" hidden="false" customHeight="false" outlineLevel="0" collapsed="false">
      <c r="A292" s="23" t="s">
        <v>376</v>
      </c>
      <c r="B292" s="24" t="n">
        <v>45871</v>
      </c>
      <c r="C292" s="23" t="n">
        <f aca="false">MONTH(B292)</f>
        <v>8</v>
      </c>
      <c r="D292" s="23" t="s">
        <v>23</v>
      </c>
      <c r="E292" s="23" t="s">
        <v>85</v>
      </c>
      <c r="F292" s="23" t="s">
        <v>104</v>
      </c>
      <c r="G292" s="23" t="str">
        <f aca="false">IFERROR(INDEX(Products!$B$2:$B$13,MATCH(F292,Products!$A$2:$A$13,0)),"Unknown")</f>
        <v>Phones</v>
      </c>
      <c r="H292" s="23" t="n">
        <v>2</v>
      </c>
      <c r="I292" s="25" t="n">
        <f aca="false">IFERROR(INDEX(Products!$C$2:$C$13,MATCH(F292,Products!$A$2:$A$13,0)),0)</f>
        <v>290</v>
      </c>
      <c r="J292" s="25" t="n">
        <f aca="false">H292*I292</f>
        <v>580</v>
      </c>
      <c r="K292" s="25" t="n">
        <f aca="false">IFERROR(INDEX(Products!$D$2:$D$13,MATCH(F292,Products!$A$2:$A$13,0)),0)</f>
        <v>205</v>
      </c>
      <c r="L292" s="25" t="n">
        <f aca="false">H292*K292</f>
        <v>410</v>
      </c>
      <c r="M292" s="25" t="n">
        <f aca="false">J292-L292</f>
        <v>170</v>
      </c>
    </row>
    <row r="293" customFormat="false" ht="15" hidden="false" customHeight="false" outlineLevel="0" collapsed="false">
      <c r="A293" s="23" t="s">
        <v>377</v>
      </c>
      <c r="B293" s="24" t="n">
        <v>45871</v>
      </c>
      <c r="C293" s="23" t="n">
        <f aca="false">MONTH(B293)</f>
        <v>8</v>
      </c>
      <c r="D293" s="23" t="s">
        <v>19</v>
      </c>
      <c r="E293" s="23" t="s">
        <v>70</v>
      </c>
      <c r="F293" s="23" t="s">
        <v>83</v>
      </c>
      <c r="G293" s="23" t="str">
        <f aca="false">IFERROR(INDEX(Products!$B$2:$B$13,MATCH(F293,Products!$A$2:$A$13,0)),"Unknown")</f>
        <v>Phones</v>
      </c>
      <c r="H293" s="23" t="n">
        <v>1</v>
      </c>
      <c r="I293" s="25" t="n">
        <f aca="false">IFERROR(INDEX(Products!$C$2:$C$13,MATCH(F293,Products!$A$2:$A$13,0)),0)</f>
        <v>640</v>
      </c>
      <c r="J293" s="25" t="n">
        <f aca="false">H293*I293</f>
        <v>640</v>
      </c>
      <c r="K293" s="25" t="n">
        <f aca="false">IFERROR(INDEX(Products!$D$2:$D$13,MATCH(F293,Products!$A$2:$A$13,0)),0)</f>
        <v>470</v>
      </c>
      <c r="L293" s="25" t="n">
        <f aca="false">H293*K293</f>
        <v>470</v>
      </c>
      <c r="M293" s="25" t="n">
        <f aca="false">J293-L293</f>
        <v>170</v>
      </c>
    </row>
    <row r="294" customFormat="false" ht="15" hidden="false" customHeight="false" outlineLevel="0" collapsed="false">
      <c r="A294" s="23" t="s">
        <v>378</v>
      </c>
      <c r="B294" s="24" t="n">
        <v>45871</v>
      </c>
      <c r="C294" s="23" t="n">
        <f aca="false">MONTH(B294)</f>
        <v>8</v>
      </c>
      <c r="D294" s="23" t="s">
        <v>19</v>
      </c>
      <c r="E294" s="23" t="s">
        <v>70</v>
      </c>
      <c r="F294" s="23" t="s">
        <v>81</v>
      </c>
      <c r="G294" s="23" t="str">
        <f aca="false">IFERROR(INDEX(Products!$B$2:$B$13,MATCH(F294,Products!$A$2:$A$13,0)),"Unknown")</f>
        <v>Laptops</v>
      </c>
      <c r="H294" s="23" t="n">
        <v>3</v>
      </c>
      <c r="I294" s="25" t="n">
        <f aca="false">IFERROR(INDEX(Products!$C$2:$C$13,MATCH(F294,Products!$A$2:$A$13,0)),0)</f>
        <v>950</v>
      </c>
      <c r="J294" s="25" t="n">
        <f aca="false">H294*I294</f>
        <v>2850</v>
      </c>
      <c r="K294" s="25" t="n">
        <f aca="false">IFERROR(INDEX(Products!$D$2:$D$13,MATCH(F294,Products!$A$2:$A$13,0)),0)</f>
        <v>720</v>
      </c>
      <c r="L294" s="25" t="n">
        <f aca="false">H294*K294</f>
        <v>2160</v>
      </c>
      <c r="M294" s="25" t="n">
        <f aca="false">J294-L294</f>
        <v>690</v>
      </c>
    </row>
    <row r="295" customFormat="false" ht="15" hidden="false" customHeight="false" outlineLevel="0" collapsed="false">
      <c r="A295" s="23" t="s">
        <v>379</v>
      </c>
      <c r="B295" s="24" t="n">
        <v>45872</v>
      </c>
      <c r="C295" s="23" t="n">
        <f aca="false">MONTH(B295)</f>
        <v>8</v>
      </c>
      <c r="D295" s="23" t="s">
        <v>19</v>
      </c>
      <c r="E295" s="23" t="s">
        <v>70</v>
      </c>
      <c r="F295" s="23" t="s">
        <v>83</v>
      </c>
      <c r="G295" s="23" t="str">
        <f aca="false">IFERROR(INDEX(Products!$B$2:$B$13,MATCH(F295,Products!$A$2:$A$13,0)),"Unknown")</f>
        <v>Phones</v>
      </c>
      <c r="H295" s="23" t="n">
        <v>1</v>
      </c>
      <c r="I295" s="25" t="n">
        <f aca="false">IFERROR(INDEX(Products!$C$2:$C$13,MATCH(F295,Products!$A$2:$A$13,0)),0)</f>
        <v>640</v>
      </c>
      <c r="J295" s="25" t="n">
        <f aca="false">H295*I295</f>
        <v>640</v>
      </c>
      <c r="K295" s="25" t="n">
        <f aca="false">IFERROR(INDEX(Products!$D$2:$D$13,MATCH(F295,Products!$A$2:$A$13,0)),0)</f>
        <v>470</v>
      </c>
      <c r="L295" s="25" t="n">
        <f aca="false">H295*K295</f>
        <v>470</v>
      </c>
      <c r="M295" s="25" t="n">
        <f aca="false">J295-L295</f>
        <v>170</v>
      </c>
    </row>
    <row r="296" customFormat="false" ht="15" hidden="false" customHeight="false" outlineLevel="0" collapsed="false">
      <c r="A296" s="23" t="s">
        <v>380</v>
      </c>
      <c r="B296" s="24" t="n">
        <v>45872</v>
      </c>
      <c r="C296" s="23" t="n">
        <f aca="false">MONTH(B296)</f>
        <v>8</v>
      </c>
      <c r="D296" s="23" t="s">
        <v>19</v>
      </c>
      <c r="E296" s="23" t="s">
        <v>73</v>
      </c>
      <c r="F296" s="23" t="s">
        <v>71</v>
      </c>
      <c r="G296" s="23" t="str">
        <f aca="false">IFERROR(INDEX(Products!$B$2:$B$13,MATCH(F296,Products!$A$2:$A$13,0)),"Unknown")</f>
        <v>Accessories</v>
      </c>
      <c r="H296" s="23" t="n">
        <v>9</v>
      </c>
      <c r="I296" s="25" t="n">
        <f aca="false">IFERROR(INDEX(Products!$C$2:$C$13,MATCH(F296,Products!$A$2:$A$13,0)),0)</f>
        <v>45</v>
      </c>
      <c r="J296" s="25" t="n">
        <f aca="false">H296*I296</f>
        <v>405</v>
      </c>
      <c r="K296" s="25" t="n">
        <f aca="false">IFERROR(INDEX(Products!$D$2:$D$13,MATCH(F296,Products!$A$2:$A$13,0)),0)</f>
        <v>18</v>
      </c>
      <c r="L296" s="25" t="n">
        <f aca="false">H296*K296</f>
        <v>162</v>
      </c>
      <c r="M296" s="25" t="n">
        <f aca="false">J296-L296</f>
        <v>243</v>
      </c>
    </row>
    <row r="297" customFormat="false" ht="15" hidden="false" customHeight="false" outlineLevel="0" collapsed="false">
      <c r="A297" s="23" t="s">
        <v>381</v>
      </c>
      <c r="B297" s="24" t="n">
        <v>45872</v>
      </c>
      <c r="C297" s="23" t="n">
        <f aca="false">MONTH(B297)</f>
        <v>8</v>
      </c>
      <c r="D297" s="23" t="s">
        <v>17</v>
      </c>
      <c r="E297" s="23" t="s">
        <v>67</v>
      </c>
      <c r="F297" s="23" t="s">
        <v>104</v>
      </c>
      <c r="G297" s="23" t="str">
        <f aca="false">IFERROR(INDEX(Products!$B$2:$B$13,MATCH(F297,Products!$A$2:$A$13,0)),"Unknown")</f>
        <v>Phones</v>
      </c>
      <c r="H297" s="23" t="n">
        <v>5</v>
      </c>
      <c r="I297" s="25" t="n">
        <f aca="false">IFERROR(INDEX(Products!$C$2:$C$13,MATCH(F297,Products!$A$2:$A$13,0)),0)</f>
        <v>290</v>
      </c>
      <c r="J297" s="25" t="n">
        <f aca="false">H297*I297</f>
        <v>1450</v>
      </c>
      <c r="K297" s="25" t="n">
        <f aca="false">IFERROR(INDEX(Products!$D$2:$D$13,MATCH(F297,Products!$A$2:$A$13,0)),0)</f>
        <v>205</v>
      </c>
      <c r="L297" s="25" t="n">
        <f aca="false">H297*K297</f>
        <v>1025</v>
      </c>
      <c r="M297" s="25" t="n">
        <f aca="false">J297-L297</f>
        <v>425</v>
      </c>
    </row>
    <row r="298" customFormat="false" ht="15" hidden="false" customHeight="false" outlineLevel="0" collapsed="false">
      <c r="A298" s="23" t="s">
        <v>382</v>
      </c>
      <c r="B298" s="24" t="n">
        <v>45872</v>
      </c>
      <c r="C298" s="23" t="n">
        <f aca="false">MONTH(B298)</f>
        <v>8</v>
      </c>
      <c r="D298" s="23" t="s">
        <v>21</v>
      </c>
      <c r="E298" s="23" t="s">
        <v>87</v>
      </c>
      <c r="F298" s="23" t="s">
        <v>88</v>
      </c>
      <c r="G298" s="23" t="str">
        <f aca="false">IFERROR(INDEX(Products!$B$2:$B$13,MATCH(F298,Products!$A$2:$A$13,0)),"Unknown")</f>
        <v>Accessories</v>
      </c>
      <c r="H298" s="23" t="n">
        <v>6</v>
      </c>
      <c r="I298" s="25" t="n">
        <f aca="false">IFERROR(INDEX(Products!$C$2:$C$13,MATCH(F298,Products!$A$2:$A$13,0)),0)</f>
        <v>85</v>
      </c>
      <c r="J298" s="25" t="n">
        <f aca="false">H298*I298</f>
        <v>510</v>
      </c>
      <c r="K298" s="25" t="n">
        <f aca="false">IFERROR(INDEX(Products!$D$2:$D$13,MATCH(F298,Products!$A$2:$A$13,0)),0)</f>
        <v>38</v>
      </c>
      <c r="L298" s="25" t="n">
        <f aca="false">H298*K298</f>
        <v>228</v>
      </c>
      <c r="M298" s="25" t="n">
        <f aca="false">J298-L298</f>
        <v>282</v>
      </c>
    </row>
    <row r="299" customFormat="false" ht="15" hidden="false" customHeight="false" outlineLevel="0" collapsed="false">
      <c r="A299" s="23" t="s">
        <v>383</v>
      </c>
      <c r="B299" s="24" t="n">
        <v>45873</v>
      </c>
      <c r="C299" s="23" t="n">
        <f aca="false">MONTH(B299)</f>
        <v>8</v>
      </c>
      <c r="D299" s="23" t="s">
        <v>21</v>
      </c>
      <c r="E299" s="23" t="s">
        <v>90</v>
      </c>
      <c r="F299" s="23" t="s">
        <v>71</v>
      </c>
      <c r="G299" s="23" t="str">
        <f aca="false">IFERROR(INDEX(Products!$B$2:$B$13,MATCH(F299,Products!$A$2:$A$13,0)),"Unknown")</f>
        <v>Accessories</v>
      </c>
      <c r="H299" s="23" t="n">
        <v>3</v>
      </c>
      <c r="I299" s="25" t="n">
        <f aca="false">IFERROR(INDEX(Products!$C$2:$C$13,MATCH(F299,Products!$A$2:$A$13,0)),0)</f>
        <v>45</v>
      </c>
      <c r="J299" s="25" t="n">
        <f aca="false">H299*I299</f>
        <v>135</v>
      </c>
      <c r="K299" s="25" t="n">
        <f aca="false">IFERROR(INDEX(Products!$D$2:$D$13,MATCH(F299,Products!$A$2:$A$13,0)),0)</f>
        <v>18</v>
      </c>
      <c r="L299" s="25" t="n">
        <f aca="false">H299*K299</f>
        <v>54</v>
      </c>
      <c r="M299" s="25" t="n">
        <f aca="false">J299-L299</f>
        <v>81</v>
      </c>
    </row>
    <row r="300" customFormat="false" ht="15" hidden="false" customHeight="false" outlineLevel="0" collapsed="false">
      <c r="A300" s="23" t="s">
        <v>384</v>
      </c>
      <c r="B300" s="24" t="n">
        <v>45873</v>
      </c>
      <c r="C300" s="23" t="n">
        <f aca="false">MONTH(B300)</f>
        <v>8</v>
      </c>
      <c r="D300" s="23" t="s">
        <v>23</v>
      </c>
      <c r="E300" s="23" t="s">
        <v>77</v>
      </c>
      <c r="F300" s="23" t="s">
        <v>88</v>
      </c>
      <c r="G300" s="23" t="str">
        <f aca="false">IFERROR(INDEX(Products!$B$2:$B$13,MATCH(F300,Products!$A$2:$A$13,0)),"Unknown")</f>
        <v>Accessories</v>
      </c>
      <c r="H300" s="23" t="n">
        <v>3</v>
      </c>
      <c r="I300" s="25" t="n">
        <f aca="false">IFERROR(INDEX(Products!$C$2:$C$13,MATCH(F300,Products!$A$2:$A$13,0)),0)</f>
        <v>85</v>
      </c>
      <c r="J300" s="25" t="n">
        <f aca="false">H300*I300</f>
        <v>255</v>
      </c>
      <c r="K300" s="25" t="n">
        <f aca="false">IFERROR(INDEX(Products!$D$2:$D$13,MATCH(F300,Products!$A$2:$A$13,0)),0)</f>
        <v>38</v>
      </c>
      <c r="L300" s="25" t="n">
        <f aca="false">H300*K300</f>
        <v>114</v>
      </c>
      <c r="M300" s="25" t="n">
        <f aca="false">J300-L300</f>
        <v>141</v>
      </c>
    </row>
    <row r="301" customFormat="false" ht="15" hidden="false" customHeight="false" outlineLevel="0" collapsed="false">
      <c r="A301" s="23" t="s">
        <v>385</v>
      </c>
      <c r="B301" s="24" t="n">
        <v>45874</v>
      </c>
      <c r="C301" s="23" t="n">
        <f aca="false">MONTH(B301)</f>
        <v>8</v>
      </c>
      <c r="D301" s="23" t="s">
        <v>19</v>
      </c>
      <c r="E301" s="23" t="s">
        <v>70</v>
      </c>
      <c r="F301" s="23" t="s">
        <v>94</v>
      </c>
      <c r="G301" s="23" t="str">
        <f aca="false">IFERROR(INDEX(Products!$B$2:$B$13,MATCH(F301,Products!$A$2:$A$13,0)),"Unknown")</f>
        <v>Laptops</v>
      </c>
      <c r="H301" s="23" t="n">
        <v>1</v>
      </c>
      <c r="I301" s="25" t="n">
        <f aca="false">IFERROR(INDEX(Products!$C$2:$C$13,MATCH(F301,Products!$A$2:$A$13,0)),0)</f>
        <v>1350</v>
      </c>
      <c r="J301" s="25" t="n">
        <f aca="false">H301*I301</f>
        <v>1350</v>
      </c>
      <c r="K301" s="25" t="n">
        <f aca="false">IFERROR(INDEX(Products!$D$2:$D$13,MATCH(F301,Products!$A$2:$A$13,0)),0)</f>
        <v>1040</v>
      </c>
      <c r="L301" s="25" t="n">
        <f aca="false">H301*K301</f>
        <v>1040</v>
      </c>
      <c r="M301" s="25" t="n">
        <f aca="false">J301-L301</f>
        <v>310</v>
      </c>
    </row>
    <row r="302" customFormat="false" ht="15" hidden="false" customHeight="false" outlineLevel="0" collapsed="false">
      <c r="A302" s="23" t="s">
        <v>386</v>
      </c>
      <c r="B302" s="24" t="n">
        <v>45874</v>
      </c>
      <c r="C302" s="23" t="n">
        <f aca="false">MONTH(B302)</f>
        <v>8</v>
      </c>
      <c r="D302" s="23" t="s">
        <v>17</v>
      </c>
      <c r="E302" s="23" t="s">
        <v>67</v>
      </c>
      <c r="F302" s="23" t="s">
        <v>104</v>
      </c>
      <c r="G302" s="23" t="str">
        <f aca="false">IFERROR(INDEX(Products!$B$2:$B$13,MATCH(F302,Products!$A$2:$A$13,0)),"Unknown")</f>
        <v>Phones</v>
      </c>
      <c r="H302" s="23" t="n">
        <v>3</v>
      </c>
      <c r="I302" s="25" t="n">
        <f aca="false">IFERROR(INDEX(Products!$C$2:$C$13,MATCH(F302,Products!$A$2:$A$13,0)),0)</f>
        <v>290</v>
      </c>
      <c r="J302" s="25" t="n">
        <f aca="false">H302*I302</f>
        <v>870</v>
      </c>
      <c r="K302" s="25" t="n">
        <f aca="false">IFERROR(INDEX(Products!$D$2:$D$13,MATCH(F302,Products!$A$2:$A$13,0)),0)</f>
        <v>205</v>
      </c>
      <c r="L302" s="25" t="n">
        <f aca="false">H302*K302</f>
        <v>615</v>
      </c>
      <c r="M302" s="25" t="n">
        <f aca="false">J302-L302</f>
        <v>255</v>
      </c>
    </row>
    <row r="303" customFormat="false" ht="15" hidden="false" customHeight="false" outlineLevel="0" collapsed="false">
      <c r="A303" s="23" t="s">
        <v>387</v>
      </c>
      <c r="B303" s="24" t="n">
        <v>45875</v>
      </c>
      <c r="C303" s="23" t="n">
        <f aca="false">MONTH(B303)</f>
        <v>8</v>
      </c>
      <c r="D303" s="23" t="s">
        <v>23</v>
      </c>
      <c r="E303" s="23" t="s">
        <v>85</v>
      </c>
      <c r="F303" s="23" t="s">
        <v>79</v>
      </c>
      <c r="G303" s="23" t="str">
        <f aca="false">IFERROR(INDEX(Products!$B$2:$B$13,MATCH(F303,Products!$A$2:$A$13,0)),"Unknown")</f>
        <v>Accessories</v>
      </c>
      <c r="H303" s="23" t="n">
        <v>9</v>
      </c>
      <c r="I303" s="25" t="n">
        <f aca="false">IFERROR(INDEX(Products!$C$2:$C$13,MATCH(F303,Products!$A$2:$A$13,0)),0)</f>
        <v>190</v>
      </c>
      <c r="J303" s="25" t="n">
        <f aca="false">H303*I303</f>
        <v>1710</v>
      </c>
      <c r="K303" s="25" t="n">
        <f aca="false">IFERROR(INDEX(Products!$D$2:$D$13,MATCH(F303,Products!$A$2:$A$13,0)),0)</f>
        <v>115</v>
      </c>
      <c r="L303" s="25" t="n">
        <f aca="false">H303*K303</f>
        <v>1035</v>
      </c>
      <c r="M303" s="25" t="n">
        <f aca="false">J303-L303</f>
        <v>675</v>
      </c>
    </row>
    <row r="304" customFormat="false" ht="15" hidden="false" customHeight="false" outlineLevel="0" collapsed="false">
      <c r="A304" s="23" t="s">
        <v>388</v>
      </c>
      <c r="B304" s="24" t="n">
        <v>45876</v>
      </c>
      <c r="C304" s="23" t="n">
        <f aca="false">MONTH(B304)</f>
        <v>8</v>
      </c>
      <c r="D304" s="23" t="s">
        <v>19</v>
      </c>
      <c r="E304" s="23" t="s">
        <v>73</v>
      </c>
      <c r="F304" s="23" t="s">
        <v>88</v>
      </c>
      <c r="G304" s="23" t="str">
        <f aca="false">IFERROR(INDEX(Products!$B$2:$B$13,MATCH(F304,Products!$A$2:$A$13,0)),"Unknown")</f>
        <v>Accessories</v>
      </c>
      <c r="H304" s="23" t="n">
        <v>12</v>
      </c>
      <c r="I304" s="25" t="n">
        <f aca="false">IFERROR(INDEX(Products!$C$2:$C$13,MATCH(F304,Products!$A$2:$A$13,0)),0)</f>
        <v>85</v>
      </c>
      <c r="J304" s="25" t="n">
        <f aca="false">H304*I304</f>
        <v>1020</v>
      </c>
      <c r="K304" s="25" t="n">
        <f aca="false">IFERROR(INDEX(Products!$D$2:$D$13,MATCH(F304,Products!$A$2:$A$13,0)),0)</f>
        <v>38</v>
      </c>
      <c r="L304" s="25" t="n">
        <f aca="false">H304*K304</f>
        <v>456</v>
      </c>
      <c r="M304" s="25" t="n">
        <f aca="false">J304-L304</f>
        <v>564</v>
      </c>
    </row>
    <row r="305" customFormat="false" ht="15" hidden="false" customHeight="false" outlineLevel="0" collapsed="false">
      <c r="A305" s="23" t="s">
        <v>389</v>
      </c>
      <c r="B305" s="24" t="n">
        <v>45877</v>
      </c>
      <c r="C305" s="23" t="n">
        <f aca="false">MONTH(B305)</f>
        <v>8</v>
      </c>
      <c r="D305" s="23" t="s">
        <v>23</v>
      </c>
      <c r="E305" s="23" t="s">
        <v>77</v>
      </c>
      <c r="F305" s="23" t="s">
        <v>88</v>
      </c>
      <c r="G305" s="23" t="str">
        <f aca="false">IFERROR(INDEX(Products!$B$2:$B$13,MATCH(F305,Products!$A$2:$A$13,0)),"Unknown")</f>
        <v>Accessories</v>
      </c>
      <c r="H305" s="23" t="n">
        <v>15</v>
      </c>
      <c r="I305" s="25" t="n">
        <f aca="false">IFERROR(INDEX(Products!$C$2:$C$13,MATCH(F305,Products!$A$2:$A$13,0)),0)</f>
        <v>85</v>
      </c>
      <c r="J305" s="25" t="n">
        <f aca="false">H305*I305</f>
        <v>1275</v>
      </c>
      <c r="K305" s="25" t="n">
        <f aca="false">IFERROR(INDEX(Products!$D$2:$D$13,MATCH(F305,Products!$A$2:$A$13,0)),0)</f>
        <v>38</v>
      </c>
      <c r="L305" s="25" t="n">
        <f aca="false">H305*K305</f>
        <v>570</v>
      </c>
      <c r="M305" s="25" t="n">
        <f aca="false">J305-L305</f>
        <v>705</v>
      </c>
    </row>
    <row r="306" customFormat="false" ht="15" hidden="false" customHeight="false" outlineLevel="0" collapsed="false">
      <c r="A306" s="23" t="s">
        <v>390</v>
      </c>
      <c r="B306" s="24" t="n">
        <v>45877</v>
      </c>
      <c r="C306" s="23" t="n">
        <f aca="false">MONTH(B306)</f>
        <v>8</v>
      </c>
      <c r="D306" s="23" t="s">
        <v>23</v>
      </c>
      <c r="E306" s="23" t="s">
        <v>85</v>
      </c>
      <c r="F306" s="23" t="s">
        <v>94</v>
      </c>
      <c r="G306" s="23" t="str">
        <f aca="false">IFERROR(INDEX(Products!$B$2:$B$13,MATCH(F306,Products!$A$2:$A$13,0)),"Unknown")</f>
        <v>Laptops</v>
      </c>
      <c r="H306" s="23" t="n">
        <v>1</v>
      </c>
      <c r="I306" s="25" t="n">
        <f aca="false">IFERROR(INDEX(Products!$C$2:$C$13,MATCH(F306,Products!$A$2:$A$13,0)),0)</f>
        <v>1350</v>
      </c>
      <c r="J306" s="25" t="n">
        <f aca="false">H306*I306</f>
        <v>1350</v>
      </c>
      <c r="K306" s="25" t="n">
        <f aca="false">IFERROR(INDEX(Products!$D$2:$D$13,MATCH(F306,Products!$A$2:$A$13,0)),0)</f>
        <v>1040</v>
      </c>
      <c r="L306" s="25" t="n">
        <f aca="false">H306*K306</f>
        <v>1040</v>
      </c>
      <c r="M306" s="25" t="n">
        <f aca="false">J306-L306</f>
        <v>310</v>
      </c>
    </row>
    <row r="307" customFormat="false" ht="15" hidden="false" customHeight="false" outlineLevel="0" collapsed="false">
      <c r="A307" s="23" t="s">
        <v>391</v>
      </c>
      <c r="B307" s="24" t="n">
        <v>45878</v>
      </c>
      <c r="C307" s="23" t="n">
        <f aca="false">MONTH(B307)</f>
        <v>8</v>
      </c>
      <c r="D307" s="23" t="s">
        <v>17</v>
      </c>
      <c r="E307" s="23" t="s">
        <v>116</v>
      </c>
      <c r="F307" s="23" t="s">
        <v>71</v>
      </c>
      <c r="G307" s="23" t="str">
        <f aca="false">IFERROR(INDEX(Products!$B$2:$B$13,MATCH(F307,Products!$A$2:$A$13,0)),"Unknown")</f>
        <v>Accessories</v>
      </c>
      <c r="H307" s="23" t="n">
        <v>12</v>
      </c>
      <c r="I307" s="25" t="n">
        <f aca="false">IFERROR(INDEX(Products!$C$2:$C$13,MATCH(F307,Products!$A$2:$A$13,0)),0)</f>
        <v>45</v>
      </c>
      <c r="J307" s="25" t="n">
        <f aca="false">H307*I307</f>
        <v>540</v>
      </c>
      <c r="K307" s="25" t="n">
        <f aca="false">IFERROR(INDEX(Products!$D$2:$D$13,MATCH(F307,Products!$A$2:$A$13,0)),0)</f>
        <v>18</v>
      </c>
      <c r="L307" s="25" t="n">
        <f aca="false">H307*K307</f>
        <v>216</v>
      </c>
      <c r="M307" s="25" t="n">
        <f aca="false">J307-L307</f>
        <v>324</v>
      </c>
    </row>
    <row r="308" customFormat="false" ht="15" hidden="false" customHeight="false" outlineLevel="0" collapsed="false">
      <c r="A308" s="23" t="s">
        <v>392</v>
      </c>
      <c r="B308" s="24" t="n">
        <v>45878</v>
      </c>
      <c r="C308" s="23" t="n">
        <f aca="false">MONTH(B308)</f>
        <v>8</v>
      </c>
      <c r="D308" s="23" t="s">
        <v>17</v>
      </c>
      <c r="E308" s="23" t="s">
        <v>116</v>
      </c>
      <c r="F308" s="23" t="s">
        <v>68</v>
      </c>
      <c r="G308" s="23" t="str">
        <f aca="false">IFERROR(INDEX(Products!$B$2:$B$13,MATCH(F308,Products!$A$2:$A$13,0)),"Unknown")</f>
        <v>Laptops</v>
      </c>
      <c r="H308" s="23" t="n">
        <v>4</v>
      </c>
      <c r="I308" s="25" t="n">
        <f aca="false">IFERROR(INDEX(Products!$C$2:$C$13,MATCH(F308,Products!$A$2:$A$13,0)),0)</f>
        <v>780</v>
      </c>
      <c r="J308" s="25" t="n">
        <f aca="false">H308*I308</f>
        <v>3120</v>
      </c>
      <c r="K308" s="25" t="n">
        <f aca="false">IFERROR(INDEX(Products!$D$2:$D$13,MATCH(F308,Products!$A$2:$A$13,0)),0)</f>
        <v>590</v>
      </c>
      <c r="L308" s="25" t="n">
        <f aca="false">H308*K308</f>
        <v>2360</v>
      </c>
      <c r="M308" s="25" t="n">
        <f aca="false">J308-L308</f>
        <v>760</v>
      </c>
    </row>
    <row r="309" customFormat="false" ht="15" hidden="false" customHeight="false" outlineLevel="0" collapsed="false">
      <c r="A309" s="23" t="s">
        <v>393</v>
      </c>
      <c r="B309" s="24" t="n">
        <v>45878</v>
      </c>
      <c r="C309" s="23" t="n">
        <f aca="false">MONTH(B309)</f>
        <v>8</v>
      </c>
      <c r="D309" s="23" t="s">
        <v>21</v>
      </c>
      <c r="E309" s="23" t="s">
        <v>87</v>
      </c>
      <c r="F309" s="23" t="s">
        <v>79</v>
      </c>
      <c r="G309" s="23" t="str">
        <f aca="false">IFERROR(INDEX(Products!$B$2:$B$13,MATCH(F309,Products!$A$2:$A$13,0)),"Unknown")</f>
        <v>Accessories</v>
      </c>
      <c r="H309" s="23" t="n">
        <v>6</v>
      </c>
      <c r="I309" s="25" t="n">
        <f aca="false">IFERROR(INDEX(Products!$C$2:$C$13,MATCH(F309,Products!$A$2:$A$13,0)),0)</f>
        <v>190</v>
      </c>
      <c r="J309" s="25" t="n">
        <f aca="false">H309*I309</f>
        <v>1140</v>
      </c>
      <c r="K309" s="25" t="n">
        <f aca="false">IFERROR(INDEX(Products!$D$2:$D$13,MATCH(F309,Products!$A$2:$A$13,0)),0)</f>
        <v>115</v>
      </c>
      <c r="L309" s="25" t="n">
        <f aca="false">H309*K309</f>
        <v>690</v>
      </c>
      <c r="M309" s="25" t="n">
        <f aca="false">J309-L309</f>
        <v>450</v>
      </c>
    </row>
    <row r="310" customFormat="false" ht="15" hidden="false" customHeight="false" outlineLevel="0" collapsed="false">
      <c r="A310" s="23" t="s">
        <v>394</v>
      </c>
      <c r="B310" s="24" t="n">
        <v>45879</v>
      </c>
      <c r="C310" s="23" t="n">
        <f aca="false">MONTH(B310)</f>
        <v>8</v>
      </c>
      <c r="D310" s="23" t="s">
        <v>23</v>
      </c>
      <c r="E310" s="23" t="s">
        <v>85</v>
      </c>
      <c r="F310" s="23" t="s">
        <v>79</v>
      </c>
      <c r="G310" s="23" t="str">
        <f aca="false">IFERROR(INDEX(Products!$B$2:$B$13,MATCH(F310,Products!$A$2:$A$13,0)),"Unknown")</f>
        <v>Accessories</v>
      </c>
      <c r="H310" s="23" t="n">
        <v>3</v>
      </c>
      <c r="I310" s="25" t="n">
        <f aca="false">IFERROR(INDEX(Products!$C$2:$C$13,MATCH(F310,Products!$A$2:$A$13,0)),0)</f>
        <v>190</v>
      </c>
      <c r="J310" s="25" t="n">
        <f aca="false">H310*I310</f>
        <v>570</v>
      </c>
      <c r="K310" s="25" t="n">
        <f aca="false">IFERROR(INDEX(Products!$D$2:$D$13,MATCH(F310,Products!$A$2:$A$13,0)),0)</f>
        <v>115</v>
      </c>
      <c r="L310" s="25" t="n">
        <f aca="false">H310*K310</f>
        <v>345</v>
      </c>
      <c r="M310" s="25" t="n">
        <f aca="false">J310-L310</f>
        <v>225</v>
      </c>
    </row>
    <row r="311" customFormat="false" ht="15" hidden="false" customHeight="false" outlineLevel="0" collapsed="false">
      <c r="A311" s="23" t="s">
        <v>395</v>
      </c>
      <c r="B311" s="24" t="n">
        <v>45879</v>
      </c>
      <c r="C311" s="23" t="n">
        <f aca="false">MONTH(B311)</f>
        <v>8</v>
      </c>
      <c r="D311" s="23" t="s">
        <v>19</v>
      </c>
      <c r="E311" s="23" t="s">
        <v>73</v>
      </c>
      <c r="F311" s="23" t="s">
        <v>81</v>
      </c>
      <c r="G311" s="23" t="str">
        <f aca="false">IFERROR(INDEX(Products!$B$2:$B$13,MATCH(F311,Products!$A$2:$A$13,0)),"Unknown")</f>
        <v>Laptops</v>
      </c>
      <c r="H311" s="23" t="n">
        <v>2</v>
      </c>
      <c r="I311" s="25" t="n">
        <f aca="false">IFERROR(INDEX(Products!$C$2:$C$13,MATCH(F311,Products!$A$2:$A$13,0)),0)</f>
        <v>950</v>
      </c>
      <c r="J311" s="25" t="n">
        <f aca="false">H311*I311</f>
        <v>1900</v>
      </c>
      <c r="K311" s="25" t="n">
        <f aca="false">IFERROR(INDEX(Products!$D$2:$D$13,MATCH(F311,Products!$A$2:$A$13,0)),0)</f>
        <v>720</v>
      </c>
      <c r="L311" s="25" t="n">
        <f aca="false">H311*K311</f>
        <v>1440</v>
      </c>
      <c r="M311" s="25" t="n">
        <f aca="false">J311-L311</f>
        <v>460</v>
      </c>
    </row>
    <row r="312" customFormat="false" ht="15" hidden="false" customHeight="false" outlineLevel="0" collapsed="false">
      <c r="A312" s="23" t="s">
        <v>396</v>
      </c>
      <c r="B312" s="24" t="n">
        <v>45880</v>
      </c>
      <c r="C312" s="23" t="n">
        <f aca="false">MONTH(B312)</f>
        <v>8</v>
      </c>
      <c r="D312" s="23" t="s">
        <v>21</v>
      </c>
      <c r="E312" s="23" t="s">
        <v>87</v>
      </c>
      <c r="F312" s="23" t="s">
        <v>96</v>
      </c>
      <c r="G312" s="23" t="str">
        <f aca="false">IFERROR(INDEX(Products!$B$2:$B$13,MATCH(F312,Products!$A$2:$A$13,0)),"Unknown")</f>
        <v>Tablets</v>
      </c>
      <c r="H312" s="23" t="n">
        <v>5</v>
      </c>
      <c r="I312" s="25" t="n">
        <f aca="false">IFERROR(INDEX(Products!$C$2:$C$13,MATCH(F312,Products!$A$2:$A$13,0)),0)</f>
        <v>260</v>
      </c>
      <c r="J312" s="25" t="n">
        <f aca="false">H312*I312</f>
        <v>1300</v>
      </c>
      <c r="K312" s="25" t="n">
        <f aca="false">IFERROR(INDEX(Products!$D$2:$D$13,MATCH(F312,Products!$A$2:$A$13,0)),0)</f>
        <v>180</v>
      </c>
      <c r="L312" s="25" t="n">
        <f aca="false">H312*K312</f>
        <v>900</v>
      </c>
      <c r="M312" s="25" t="n">
        <f aca="false">J312-L312</f>
        <v>400</v>
      </c>
    </row>
    <row r="313" customFormat="false" ht="15" hidden="false" customHeight="false" outlineLevel="0" collapsed="false">
      <c r="A313" s="23" t="s">
        <v>397</v>
      </c>
      <c r="B313" s="24" t="n">
        <v>45881</v>
      </c>
      <c r="C313" s="23" t="n">
        <f aca="false">MONTH(B313)</f>
        <v>8</v>
      </c>
      <c r="D313" s="23" t="s">
        <v>23</v>
      </c>
      <c r="E313" s="23" t="s">
        <v>85</v>
      </c>
      <c r="F313" s="23" t="s">
        <v>91</v>
      </c>
      <c r="G313" s="23" t="str">
        <f aca="false">IFERROR(INDEX(Products!$B$2:$B$13,MATCH(F313,Products!$A$2:$A$13,0)),"Unknown")</f>
        <v>Tablets</v>
      </c>
      <c r="H313" s="23" t="n">
        <v>2</v>
      </c>
      <c r="I313" s="25" t="n">
        <f aca="false">IFERROR(INDEX(Products!$C$2:$C$13,MATCH(F313,Products!$A$2:$A$13,0)),0)</f>
        <v>420</v>
      </c>
      <c r="J313" s="25" t="n">
        <f aca="false">H313*I313</f>
        <v>840</v>
      </c>
      <c r="K313" s="25" t="n">
        <f aca="false">IFERROR(INDEX(Products!$D$2:$D$13,MATCH(F313,Products!$A$2:$A$13,0)),0)</f>
        <v>300</v>
      </c>
      <c r="L313" s="25" t="n">
        <f aca="false">H313*K313</f>
        <v>600</v>
      </c>
      <c r="M313" s="25" t="n">
        <f aca="false">J313-L313</f>
        <v>240</v>
      </c>
    </row>
    <row r="314" customFormat="false" ht="15" hidden="false" customHeight="false" outlineLevel="0" collapsed="false">
      <c r="A314" s="23" t="s">
        <v>398</v>
      </c>
      <c r="B314" s="24" t="n">
        <v>45881</v>
      </c>
      <c r="C314" s="23" t="n">
        <f aca="false">MONTH(B314)</f>
        <v>8</v>
      </c>
      <c r="D314" s="23" t="s">
        <v>17</v>
      </c>
      <c r="E314" s="23" t="s">
        <v>116</v>
      </c>
      <c r="F314" s="23" t="s">
        <v>104</v>
      </c>
      <c r="G314" s="23" t="str">
        <f aca="false">IFERROR(INDEX(Products!$B$2:$B$13,MATCH(F314,Products!$A$2:$A$13,0)),"Unknown")</f>
        <v>Phones</v>
      </c>
      <c r="H314" s="23" t="n">
        <v>1</v>
      </c>
      <c r="I314" s="25" t="n">
        <f aca="false">IFERROR(INDEX(Products!$C$2:$C$13,MATCH(F314,Products!$A$2:$A$13,0)),0)</f>
        <v>290</v>
      </c>
      <c r="J314" s="25" t="n">
        <f aca="false">H314*I314</f>
        <v>290</v>
      </c>
      <c r="K314" s="25" t="n">
        <f aca="false">IFERROR(INDEX(Products!$D$2:$D$13,MATCH(F314,Products!$A$2:$A$13,0)),0)</f>
        <v>205</v>
      </c>
      <c r="L314" s="25" t="n">
        <f aca="false">H314*K314</f>
        <v>205</v>
      </c>
      <c r="M314" s="25" t="n">
        <f aca="false">J314-L314</f>
        <v>85</v>
      </c>
    </row>
    <row r="315" customFormat="false" ht="15" hidden="false" customHeight="false" outlineLevel="0" collapsed="false">
      <c r="A315" s="23" t="s">
        <v>399</v>
      </c>
      <c r="B315" s="24" t="n">
        <v>45881</v>
      </c>
      <c r="C315" s="23" t="n">
        <f aca="false">MONTH(B315)</f>
        <v>8</v>
      </c>
      <c r="D315" s="23" t="s">
        <v>23</v>
      </c>
      <c r="E315" s="23" t="s">
        <v>85</v>
      </c>
      <c r="F315" s="23" t="s">
        <v>79</v>
      </c>
      <c r="G315" s="23" t="str">
        <f aca="false">IFERROR(INDEX(Products!$B$2:$B$13,MATCH(F315,Products!$A$2:$A$13,0)),"Unknown")</f>
        <v>Accessories</v>
      </c>
      <c r="H315" s="23" t="n">
        <v>3</v>
      </c>
      <c r="I315" s="25" t="n">
        <f aca="false">IFERROR(INDEX(Products!$C$2:$C$13,MATCH(F315,Products!$A$2:$A$13,0)),0)</f>
        <v>190</v>
      </c>
      <c r="J315" s="25" t="n">
        <f aca="false">H315*I315</f>
        <v>570</v>
      </c>
      <c r="K315" s="25" t="n">
        <f aca="false">IFERROR(INDEX(Products!$D$2:$D$13,MATCH(F315,Products!$A$2:$A$13,0)),0)</f>
        <v>115</v>
      </c>
      <c r="L315" s="25" t="n">
        <f aca="false">H315*K315</f>
        <v>345</v>
      </c>
      <c r="M315" s="25" t="n">
        <f aca="false">J315-L315</f>
        <v>225</v>
      </c>
    </row>
    <row r="316" customFormat="false" ht="15" hidden="false" customHeight="false" outlineLevel="0" collapsed="false">
      <c r="A316" s="23" t="s">
        <v>400</v>
      </c>
      <c r="B316" s="24" t="n">
        <v>45882</v>
      </c>
      <c r="C316" s="23" t="n">
        <f aca="false">MONTH(B316)</f>
        <v>8</v>
      </c>
      <c r="D316" s="23" t="s">
        <v>17</v>
      </c>
      <c r="E316" s="23" t="s">
        <v>116</v>
      </c>
      <c r="F316" s="23" t="s">
        <v>104</v>
      </c>
      <c r="G316" s="23" t="str">
        <f aca="false">IFERROR(INDEX(Products!$B$2:$B$13,MATCH(F316,Products!$A$2:$A$13,0)),"Unknown")</f>
        <v>Phones</v>
      </c>
      <c r="H316" s="23" t="n">
        <v>1</v>
      </c>
      <c r="I316" s="25" t="n">
        <f aca="false">IFERROR(INDEX(Products!$C$2:$C$13,MATCH(F316,Products!$A$2:$A$13,0)),0)</f>
        <v>290</v>
      </c>
      <c r="J316" s="25" t="n">
        <f aca="false">H316*I316</f>
        <v>290</v>
      </c>
      <c r="K316" s="25" t="n">
        <f aca="false">IFERROR(INDEX(Products!$D$2:$D$13,MATCH(F316,Products!$A$2:$A$13,0)),0)</f>
        <v>205</v>
      </c>
      <c r="L316" s="25" t="n">
        <f aca="false">H316*K316</f>
        <v>205</v>
      </c>
      <c r="M316" s="25" t="n">
        <f aca="false">J316-L316</f>
        <v>85</v>
      </c>
    </row>
    <row r="317" customFormat="false" ht="15" hidden="false" customHeight="false" outlineLevel="0" collapsed="false">
      <c r="A317" s="23" t="s">
        <v>401</v>
      </c>
      <c r="B317" s="24" t="n">
        <v>45882</v>
      </c>
      <c r="C317" s="23" t="n">
        <f aca="false">MONTH(B317)</f>
        <v>8</v>
      </c>
      <c r="D317" s="23" t="s">
        <v>17</v>
      </c>
      <c r="E317" s="23" t="s">
        <v>116</v>
      </c>
      <c r="F317" s="23" t="s">
        <v>88</v>
      </c>
      <c r="G317" s="23" t="str">
        <f aca="false">IFERROR(INDEX(Products!$B$2:$B$13,MATCH(F317,Products!$A$2:$A$13,0)),"Unknown")</f>
        <v>Accessories</v>
      </c>
      <c r="H317" s="23" t="n">
        <v>15</v>
      </c>
      <c r="I317" s="25" t="n">
        <f aca="false">IFERROR(INDEX(Products!$C$2:$C$13,MATCH(F317,Products!$A$2:$A$13,0)),0)</f>
        <v>85</v>
      </c>
      <c r="J317" s="25" t="n">
        <f aca="false">H317*I317</f>
        <v>1275</v>
      </c>
      <c r="K317" s="25" t="n">
        <f aca="false">IFERROR(INDEX(Products!$D$2:$D$13,MATCH(F317,Products!$A$2:$A$13,0)),0)</f>
        <v>38</v>
      </c>
      <c r="L317" s="25" t="n">
        <f aca="false">H317*K317</f>
        <v>570</v>
      </c>
      <c r="M317" s="25" t="n">
        <f aca="false">J317-L317</f>
        <v>705</v>
      </c>
    </row>
    <row r="318" customFormat="false" ht="15" hidden="false" customHeight="false" outlineLevel="0" collapsed="false">
      <c r="A318" s="23" t="s">
        <v>402</v>
      </c>
      <c r="B318" s="24" t="n">
        <v>45882</v>
      </c>
      <c r="C318" s="23" t="n">
        <f aca="false">MONTH(B318)</f>
        <v>8</v>
      </c>
      <c r="D318" s="23" t="s">
        <v>21</v>
      </c>
      <c r="E318" s="23" t="s">
        <v>90</v>
      </c>
      <c r="F318" s="23" t="s">
        <v>88</v>
      </c>
      <c r="G318" s="23" t="str">
        <f aca="false">IFERROR(INDEX(Products!$B$2:$B$13,MATCH(F318,Products!$A$2:$A$13,0)),"Unknown")</f>
        <v>Accessories</v>
      </c>
      <c r="H318" s="23" t="n">
        <v>6</v>
      </c>
      <c r="I318" s="25" t="n">
        <f aca="false">IFERROR(INDEX(Products!$C$2:$C$13,MATCH(F318,Products!$A$2:$A$13,0)),0)</f>
        <v>85</v>
      </c>
      <c r="J318" s="25" t="n">
        <f aca="false">H318*I318</f>
        <v>510</v>
      </c>
      <c r="K318" s="25" t="n">
        <f aca="false">IFERROR(INDEX(Products!$D$2:$D$13,MATCH(F318,Products!$A$2:$A$13,0)),0)</f>
        <v>38</v>
      </c>
      <c r="L318" s="25" t="n">
        <f aca="false">H318*K318</f>
        <v>228</v>
      </c>
      <c r="M318" s="25" t="n">
        <f aca="false">J318-L318</f>
        <v>282</v>
      </c>
    </row>
    <row r="319" customFormat="false" ht="15" hidden="false" customHeight="false" outlineLevel="0" collapsed="false">
      <c r="A319" s="23" t="s">
        <v>403</v>
      </c>
      <c r="B319" s="24" t="n">
        <v>45883</v>
      </c>
      <c r="C319" s="23" t="n">
        <f aca="false">MONTH(B319)</f>
        <v>8</v>
      </c>
      <c r="D319" s="23" t="s">
        <v>17</v>
      </c>
      <c r="E319" s="23" t="s">
        <v>67</v>
      </c>
      <c r="F319" s="23" t="s">
        <v>104</v>
      </c>
      <c r="G319" s="23" t="str">
        <f aca="false">IFERROR(INDEX(Products!$B$2:$B$13,MATCH(F319,Products!$A$2:$A$13,0)),"Unknown")</f>
        <v>Phones</v>
      </c>
      <c r="H319" s="23" t="n">
        <v>3</v>
      </c>
      <c r="I319" s="25" t="n">
        <f aca="false">IFERROR(INDEX(Products!$C$2:$C$13,MATCH(F319,Products!$A$2:$A$13,0)),0)</f>
        <v>290</v>
      </c>
      <c r="J319" s="25" t="n">
        <f aca="false">H319*I319</f>
        <v>870</v>
      </c>
      <c r="K319" s="25" t="n">
        <f aca="false">IFERROR(INDEX(Products!$D$2:$D$13,MATCH(F319,Products!$A$2:$A$13,0)),0)</f>
        <v>205</v>
      </c>
      <c r="L319" s="25" t="n">
        <f aca="false">H319*K319</f>
        <v>615</v>
      </c>
      <c r="M319" s="25" t="n">
        <f aca="false">J319-L319</f>
        <v>255</v>
      </c>
    </row>
    <row r="320" customFormat="false" ht="15" hidden="false" customHeight="false" outlineLevel="0" collapsed="false">
      <c r="A320" s="23" t="s">
        <v>404</v>
      </c>
      <c r="B320" s="24" t="n">
        <v>45884</v>
      </c>
      <c r="C320" s="23" t="n">
        <f aca="false">MONTH(B320)</f>
        <v>8</v>
      </c>
      <c r="D320" s="23" t="s">
        <v>17</v>
      </c>
      <c r="E320" s="23" t="s">
        <v>116</v>
      </c>
      <c r="F320" s="23" t="s">
        <v>71</v>
      </c>
      <c r="G320" s="23" t="str">
        <f aca="false">IFERROR(INDEX(Products!$B$2:$B$13,MATCH(F320,Products!$A$2:$A$13,0)),"Unknown")</f>
        <v>Accessories</v>
      </c>
      <c r="H320" s="23" t="n">
        <v>3</v>
      </c>
      <c r="I320" s="25" t="n">
        <f aca="false">IFERROR(INDEX(Products!$C$2:$C$13,MATCH(F320,Products!$A$2:$A$13,0)),0)</f>
        <v>45</v>
      </c>
      <c r="J320" s="25" t="n">
        <f aca="false">H320*I320</f>
        <v>135</v>
      </c>
      <c r="K320" s="25" t="n">
        <f aca="false">IFERROR(INDEX(Products!$D$2:$D$13,MATCH(F320,Products!$A$2:$A$13,0)),0)</f>
        <v>18</v>
      </c>
      <c r="L320" s="25" t="n">
        <f aca="false">H320*K320</f>
        <v>54</v>
      </c>
      <c r="M320" s="25" t="n">
        <f aca="false">J320-L320</f>
        <v>81</v>
      </c>
    </row>
    <row r="321" customFormat="false" ht="15" hidden="false" customHeight="false" outlineLevel="0" collapsed="false">
      <c r="A321" s="23" t="s">
        <v>405</v>
      </c>
      <c r="B321" s="24" t="n">
        <v>45884</v>
      </c>
      <c r="C321" s="23" t="n">
        <f aca="false">MONTH(B321)</f>
        <v>8</v>
      </c>
      <c r="D321" s="23" t="s">
        <v>17</v>
      </c>
      <c r="E321" s="23" t="s">
        <v>116</v>
      </c>
      <c r="F321" s="23" t="s">
        <v>79</v>
      </c>
      <c r="G321" s="23" t="str">
        <f aca="false">IFERROR(INDEX(Products!$B$2:$B$13,MATCH(F321,Products!$A$2:$A$13,0)),"Unknown")</f>
        <v>Accessories</v>
      </c>
      <c r="H321" s="23" t="n">
        <v>9</v>
      </c>
      <c r="I321" s="25" t="n">
        <f aca="false">IFERROR(INDEX(Products!$C$2:$C$13,MATCH(F321,Products!$A$2:$A$13,0)),0)</f>
        <v>190</v>
      </c>
      <c r="J321" s="25" t="n">
        <f aca="false">H321*I321</f>
        <v>1710</v>
      </c>
      <c r="K321" s="25" t="n">
        <f aca="false">IFERROR(INDEX(Products!$D$2:$D$13,MATCH(F321,Products!$A$2:$A$13,0)),0)</f>
        <v>115</v>
      </c>
      <c r="L321" s="25" t="n">
        <f aca="false">H321*K321</f>
        <v>1035</v>
      </c>
      <c r="M321" s="25" t="n">
        <f aca="false">J321-L321</f>
        <v>675</v>
      </c>
    </row>
    <row r="322" customFormat="false" ht="15" hidden="false" customHeight="false" outlineLevel="0" collapsed="false">
      <c r="A322" s="23" t="s">
        <v>406</v>
      </c>
      <c r="B322" s="24" t="n">
        <v>45884</v>
      </c>
      <c r="C322" s="23" t="n">
        <f aca="false">MONTH(B322)</f>
        <v>8</v>
      </c>
      <c r="D322" s="23" t="s">
        <v>19</v>
      </c>
      <c r="E322" s="23" t="s">
        <v>73</v>
      </c>
      <c r="F322" s="23" t="s">
        <v>71</v>
      </c>
      <c r="G322" s="23" t="str">
        <f aca="false">IFERROR(INDEX(Products!$B$2:$B$13,MATCH(F322,Products!$A$2:$A$13,0)),"Unknown")</f>
        <v>Accessories</v>
      </c>
      <c r="H322" s="23" t="n">
        <v>15</v>
      </c>
      <c r="I322" s="25" t="n">
        <f aca="false">IFERROR(INDEX(Products!$C$2:$C$13,MATCH(F322,Products!$A$2:$A$13,0)),0)</f>
        <v>45</v>
      </c>
      <c r="J322" s="25" t="n">
        <f aca="false">H322*I322</f>
        <v>675</v>
      </c>
      <c r="K322" s="25" t="n">
        <f aca="false">IFERROR(INDEX(Products!$D$2:$D$13,MATCH(F322,Products!$A$2:$A$13,0)),0)</f>
        <v>18</v>
      </c>
      <c r="L322" s="25" t="n">
        <f aca="false">H322*K322</f>
        <v>270</v>
      </c>
      <c r="M322" s="25" t="n">
        <f aca="false">J322-L322</f>
        <v>405</v>
      </c>
    </row>
    <row r="323" customFormat="false" ht="15" hidden="false" customHeight="false" outlineLevel="0" collapsed="false">
      <c r="A323" s="23" t="s">
        <v>407</v>
      </c>
      <c r="B323" s="24" t="n">
        <v>45886</v>
      </c>
      <c r="C323" s="23" t="n">
        <f aca="false">MONTH(B323)</f>
        <v>8</v>
      </c>
      <c r="D323" s="23" t="s">
        <v>23</v>
      </c>
      <c r="E323" s="23" t="s">
        <v>77</v>
      </c>
      <c r="F323" s="23" t="s">
        <v>98</v>
      </c>
      <c r="G323" s="23" t="str">
        <f aca="false">IFERROR(INDEX(Products!$B$2:$B$13,MATCH(F323,Products!$A$2:$A$13,0)),"Unknown")</f>
        <v>Monitors</v>
      </c>
      <c r="H323" s="23" t="n">
        <v>2</v>
      </c>
      <c r="I323" s="25" t="n">
        <f aca="false">IFERROR(INDEX(Products!$C$2:$C$13,MATCH(F323,Products!$A$2:$A$13,0)),0)</f>
        <v>480</v>
      </c>
      <c r="J323" s="25" t="n">
        <f aca="false">H323*I323</f>
        <v>960</v>
      </c>
      <c r="K323" s="25" t="n">
        <f aca="false">IFERROR(INDEX(Products!$D$2:$D$13,MATCH(F323,Products!$A$2:$A$13,0)),0)</f>
        <v>350</v>
      </c>
      <c r="L323" s="25" t="n">
        <f aca="false">H323*K323</f>
        <v>700</v>
      </c>
      <c r="M323" s="25" t="n">
        <f aca="false">J323-L323</f>
        <v>260</v>
      </c>
    </row>
    <row r="324" customFormat="false" ht="15" hidden="false" customHeight="false" outlineLevel="0" collapsed="false">
      <c r="A324" s="23" t="s">
        <v>408</v>
      </c>
      <c r="B324" s="24" t="n">
        <v>45886</v>
      </c>
      <c r="C324" s="23" t="n">
        <f aca="false">MONTH(B324)</f>
        <v>8</v>
      </c>
      <c r="D324" s="23" t="s">
        <v>19</v>
      </c>
      <c r="E324" s="23" t="s">
        <v>70</v>
      </c>
      <c r="F324" s="23" t="s">
        <v>74</v>
      </c>
      <c r="G324" s="23" t="str">
        <f aca="false">IFERROR(INDEX(Products!$B$2:$B$13,MATCH(F324,Products!$A$2:$A$13,0)),"Unknown")</f>
        <v>Monitors</v>
      </c>
      <c r="H324" s="23" t="n">
        <v>1</v>
      </c>
      <c r="I324" s="25" t="n">
        <f aca="false">IFERROR(INDEX(Products!$C$2:$C$13,MATCH(F324,Products!$A$2:$A$13,0)),0)</f>
        <v>310</v>
      </c>
      <c r="J324" s="25" t="n">
        <f aca="false">H324*I324</f>
        <v>310</v>
      </c>
      <c r="K324" s="25" t="n">
        <f aca="false">IFERROR(INDEX(Products!$D$2:$D$13,MATCH(F324,Products!$A$2:$A$13,0)),0)</f>
        <v>225</v>
      </c>
      <c r="L324" s="25" t="n">
        <f aca="false">H324*K324</f>
        <v>225</v>
      </c>
      <c r="M324" s="25" t="n">
        <f aca="false">J324-L324</f>
        <v>85</v>
      </c>
    </row>
    <row r="325" customFormat="false" ht="15" hidden="false" customHeight="false" outlineLevel="0" collapsed="false">
      <c r="A325" s="23" t="s">
        <v>409</v>
      </c>
      <c r="B325" s="24" t="n">
        <v>45887</v>
      </c>
      <c r="C325" s="23" t="n">
        <f aca="false">MONTH(B325)</f>
        <v>8</v>
      </c>
      <c r="D325" s="23" t="s">
        <v>19</v>
      </c>
      <c r="E325" s="23" t="s">
        <v>73</v>
      </c>
      <c r="F325" s="23" t="s">
        <v>104</v>
      </c>
      <c r="G325" s="23" t="str">
        <f aca="false">IFERROR(INDEX(Products!$B$2:$B$13,MATCH(F325,Products!$A$2:$A$13,0)),"Unknown")</f>
        <v>Phones</v>
      </c>
      <c r="H325" s="23" t="n">
        <v>5</v>
      </c>
      <c r="I325" s="25" t="n">
        <f aca="false">IFERROR(INDEX(Products!$C$2:$C$13,MATCH(F325,Products!$A$2:$A$13,0)),0)</f>
        <v>290</v>
      </c>
      <c r="J325" s="25" t="n">
        <f aca="false">H325*I325</f>
        <v>1450</v>
      </c>
      <c r="K325" s="25" t="n">
        <f aca="false">IFERROR(INDEX(Products!$D$2:$D$13,MATCH(F325,Products!$A$2:$A$13,0)),0)</f>
        <v>205</v>
      </c>
      <c r="L325" s="25" t="n">
        <f aca="false">H325*K325</f>
        <v>1025</v>
      </c>
      <c r="M325" s="25" t="n">
        <f aca="false">J325-L325</f>
        <v>425</v>
      </c>
    </row>
    <row r="326" customFormat="false" ht="15" hidden="false" customHeight="false" outlineLevel="0" collapsed="false">
      <c r="A326" s="23" t="s">
        <v>410</v>
      </c>
      <c r="B326" s="24" t="n">
        <v>45887</v>
      </c>
      <c r="C326" s="23" t="n">
        <f aca="false">MONTH(B326)</f>
        <v>8</v>
      </c>
      <c r="D326" s="23" t="s">
        <v>17</v>
      </c>
      <c r="E326" s="23" t="s">
        <v>116</v>
      </c>
      <c r="F326" s="23" t="s">
        <v>79</v>
      </c>
      <c r="G326" s="23" t="str">
        <f aca="false">IFERROR(INDEX(Products!$B$2:$B$13,MATCH(F326,Products!$A$2:$A$13,0)),"Unknown")</f>
        <v>Accessories</v>
      </c>
      <c r="H326" s="23" t="n">
        <v>3</v>
      </c>
      <c r="I326" s="25" t="n">
        <f aca="false">IFERROR(INDEX(Products!$C$2:$C$13,MATCH(F326,Products!$A$2:$A$13,0)),0)</f>
        <v>190</v>
      </c>
      <c r="J326" s="25" t="n">
        <f aca="false">H326*I326</f>
        <v>570</v>
      </c>
      <c r="K326" s="25" t="n">
        <f aca="false">IFERROR(INDEX(Products!$D$2:$D$13,MATCH(F326,Products!$A$2:$A$13,0)),0)</f>
        <v>115</v>
      </c>
      <c r="L326" s="25" t="n">
        <f aca="false">H326*K326</f>
        <v>345</v>
      </c>
      <c r="M326" s="25" t="n">
        <f aca="false">J326-L326</f>
        <v>225</v>
      </c>
    </row>
    <row r="327" customFormat="false" ht="15" hidden="false" customHeight="false" outlineLevel="0" collapsed="false">
      <c r="A327" s="23" t="s">
        <v>411</v>
      </c>
      <c r="B327" s="24" t="n">
        <v>45889</v>
      </c>
      <c r="C327" s="23" t="n">
        <f aca="false">MONTH(B327)</f>
        <v>8</v>
      </c>
      <c r="D327" s="23" t="s">
        <v>21</v>
      </c>
      <c r="E327" s="23" t="s">
        <v>90</v>
      </c>
      <c r="F327" s="23" t="s">
        <v>79</v>
      </c>
      <c r="G327" s="23" t="str">
        <f aca="false">IFERROR(INDEX(Products!$B$2:$B$13,MATCH(F327,Products!$A$2:$A$13,0)),"Unknown")</f>
        <v>Accessories</v>
      </c>
      <c r="H327" s="23" t="n">
        <v>15</v>
      </c>
      <c r="I327" s="25" t="n">
        <f aca="false">IFERROR(INDEX(Products!$C$2:$C$13,MATCH(F327,Products!$A$2:$A$13,0)),0)</f>
        <v>190</v>
      </c>
      <c r="J327" s="25" t="n">
        <f aca="false">H327*I327</f>
        <v>2850</v>
      </c>
      <c r="K327" s="25" t="n">
        <f aca="false">IFERROR(INDEX(Products!$D$2:$D$13,MATCH(F327,Products!$A$2:$A$13,0)),0)</f>
        <v>115</v>
      </c>
      <c r="L327" s="25" t="n">
        <f aca="false">H327*K327</f>
        <v>1725</v>
      </c>
      <c r="M327" s="25" t="n">
        <f aca="false">J327-L327</f>
        <v>1125</v>
      </c>
    </row>
    <row r="328" customFormat="false" ht="15" hidden="false" customHeight="false" outlineLevel="0" collapsed="false">
      <c r="A328" s="23" t="s">
        <v>412</v>
      </c>
      <c r="B328" s="24" t="n">
        <v>45889</v>
      </c>
      <c r="C328" s="23" t="n">
        <f aca="false">MONTH(B328)</f>
        <v>8</v>
      </c>
      <c r="D328" s="23" t="s">
        <v>19</v>
      </c>
      <c r="E328" s="23" t="s">
        <v>73</v>
      </c>
      <c r="F328" s="23" t="s">
        <v>88</v>
      </c>
      <c r="G328" s="23" t="str">
        <f aca="false">IFERROR(INDEX(Products!$B$2:$B$13,MATCH(F328,Products!$A$2:$A$13,0)),"Unknown")</f>
        <v>Accessories</v>
      </c>
      <c r="H328" s="23" t="n">
        <v>9</v>
      </c>
      <c r="I328" s="25" t="n">
        <f aca="false">IFERROR(INDEX(Products!$C$2:$C$13,MATCH(F328,Products!$A$2:$A$13,0)),0)</f>
        <v>85</v>
      </c>
      <c r="J328" s="25" t="n">
        <f aca="false">H328*I328</f>
        <v>765</v>
      </c>
      <c r="K328" s="25" t="n">
        <f aca="false">IFERROR(INDEX(Products!$D$2:$D$13,MATCH(F328,Products!$A$2:$A$13,0)),0)</f>
        <v>38</v>
      </c>
      <c r="L328" s="25" t="n">
        <f aca="false">H328*K328</f>
        <v>342</v>
      </c>
      <c r="M328" s="25" t="n">
        <f aca="false">J328-L328</f>
        <v>423</v>
      </c>
    </row>
    <row r="329" customFormat="false" ht="15" hidden="false" customHeight="false" outlineLevel="0" collapsed="false">
      <c r="A329" s="23" t="s">
        <v>413</v>
      </c>
      <c r="B329" s="24" t="n">
        <v>45889</v>
      </c>
      <c r="C329" s="23" t="n">
        <f aca="false">MONTH(B329)</f>
        <v>8</v>
      </c>
      <c r="D329" s="23" t="s">
        <v>23</v>
      </c>
      <c r="E329" s="23" t="s">
        <v>85</v>
      </c>
      <c r="F329" s="23" t="s">
        <v>94</v>
      </c>
      <c r="G329" s="23" t="str">
        <f aca="false">IFERROR(INDEX(Products!$B$2:$B$13,MATCH(F329,Products!$A$2:$A$13,0)),"Unknown")</f>
        <v>Laptops</v>
      </c>
      <c r="H329" s="23" t="n">
        <v>5</v>
      </c>
      <c r="I329" s="25" t="n">
        <f aca="false">IFERROR(INDEX(Products!$C$2:$C$13,MATCH(F329,Products!$A$2:$A$13,0)),0)</f>
        <v>1350</v>
      </c>
      <c r="J329" s="25" t="n">
        <f aca="false">H329*I329</f>
        <v>6750</v>
      </c>
      <c r="K329" s="25" t="n">
        <f aca="false">IFERROR(INDEX(Products!$D$2:$D$13,MATCH(F329,Products!$A$2:$A$13,0)),0)</f>
        <v>1040</v>
      </c>
      <c r="L329" s="25" t="n">
        <f aca="false">H329*K329</f>
        <v>5200</v>
      </c>
      <c r="M329" s="25" t="n">
        <f aca="false">J329-L329</f>
        <v>1550</v>
      </c>
    </row>
    <row r="330" customFormat="false" ht="15" hidden="false" customHeight="false" outlineLevel="0" collapsed="false">
      <c r="A330" s="23" t="s">
        <v>414</v>
      </c>
      <c r="B330" s="24" t="n">
        <v>45890</v>
      </c>
      <c r="C330" s="23" t="n">
        <f aca="false">MONTH(B330)</f>
        <v>8</v>
      </c>
      <c r="D330" s="23" t="s">
        <v>23</v>
      </c>
      <c r="E330" s="23" t="s">
        <v>77</v>
      </c>
      <c r="F330" s="23" t="s">
        <v>98</v>
      </c>
      <c r="G330" s="23" t="str">
        <f aca="false">IFERROR(INDEX(Products!$B$2:$B$13,MATCH(F330,Products!$A$2:$A$13,0)),"Unknown")</f>
        <v>Monitors</v>
      </c>
      <c r="H330" s="23" t="n">
        <v>2</v>
      </c>
      <c r="I330" s="25" t="n">
        <f aca="false">IFERROR(INDEX(Products!$C$2:$C$13,MATCH(F330,Products!$A$2:$A$13,0)),0)</f>
        <v>480</v>
      </c>
      <c r="J330" s="25" t="n">
        <f aca="false">H330*I330</f>
        <v>960</v>
      </c>
      <c r="K330" s="25" t="n">
        <f aca="false">IFERROR(INDEX(Products!$D$2:$D$13,MATCH(F330,Products!$A$2:$A$13,0)),0)</f>
        <v>350</v>
      </c>
      <c r="L330" s="25" t="n">
        <f aca="false">H330*K330</f>
        <v>700</v>
      </c>
      <c r="M330" s="25" t="n">
        <f aca="false">J330-L330</f>
        <v>260</v>
      </c>
    </row>
    <row r="331" customFormat="false" ht="15" hidden="false" customHeight="false" outlineLevel="0" collapsed="false">
      <c r="A331" s="23" t="s">
        <v>415</v>
      </c>
      <c r="B331" s="24" t="n">
        <v>45892</v>
      </c>
      <c r="C331" s="23" t="n">
        <f aca="false">MONTH(B331)</f>
        <v>8</v>
      </c>
      <c r="D331" s="23" t="s">
        <v>19</v>
      </c>
      <c r="E331" s="23" t="s">
        <v>70</v>
      </c>
      <c r="F331" s="23" t="s">
        <v>104</v>
      </c>
      <c r="G331" s="23" t="str">
        <f aca="false">IFERROR(INDEX(Products!$B$2:$B$13,MATCH(F331,Products!$A$2:$A$13,0)),"Unknown")</f>
        <v>Phones</v>
      </c>
      <c r="H331" s="23" t="n">
        <v>1</v>
      </c>
      <c r="I331" s="25" t="n">
        <f aca="false">IFERROR(INDEX(Products!$C$2:$C$13,MATCH(F331,Products!$A$2:$A$13,0)),0)</f>
        <v>290</v>
      </c>
      <c r="J331" s="25" t="n">
        <f aca="false">H331*I331</f>
        <v>290</v>
      </c>
      <c r="K331" s="25" t="n">
        <f aca="false">IFERROR(INDEX(Products!$D$2:$D$13,MATCH(F331,Products!$A$2:$A$13,0)),0)</f>
        <v>205</v>
      </c>
      <c r="L331" s="25" t="n">
        <f aca="false">H331*K331</f>
        <v>205</v>
      </c>
      <c r="M331" s="25" t="n">
        <f aca="false">J331-L331</f>
        <v>85</v>
      </c>
    </row>
    <row r="332" customFormat="false" ht="15" hidden="false" customHeight="false" outlineLevel="0" collapsed="false">
      <c r="A332" s="23" t="s">
        <v>416</v>
      </c>
      <c r="B332" s="24" t="n">
        <v>45892</v>
      </c>
      <c r="C332" s="23" t="n">
        <f aca="false">MONTH(B332)</f>
        <v>8</v>
      </c>
      <c r="D332" s="23" t="s">
        <v>23</v>
      </c>
      <c r="E332" s="23" t="s">
        <v>77</v>
      </c>
      <c r="F332" s="23" t="s">
        <v>83</v>
      </c>
      <c r="G332" s="23" t="str">
        <f aca="false">IFERROR(INDEX(Products!$B$2:$B$13,MATCH(F332,Products!$A$2:$A$13,0)),"Unknown")</f>
        <v>Phones</v>
      </c>
      <c r="H332" s="23" t="n">
        <v>1</v>
      </c>
      <c r="I332" s="25" t="n">
        <f aca="false">IFERROR(INDEX(Products!$C$2:$C$13,MATCH(F332,Products!$A$2:$A$13,0)),0)</f>
        <v>640</v>
      </c>
      <c r="J332" s="25" t="n">
        <f aca="false">H332*I332</f>
        <v>640</v>
      </c>
      <c r="K332" s="25" t="n">
        <f aca="false">IFERROR(INDEX(Products!$D$2:$D$13,MATCH(F332,Products!$A$2:$A$13,0)),0)</f>
        <v>470</v>
      </c>
      <c r="L332" s="25" t="n">
        <f aca="false">H332*K332</f>
        <v>470</v>
      </c>
      <c r="M332" s="25" t="n">
        <f aca="false">J332-L332</f>
        <v>170</v>
      </c>
    </row>
    <row r="333" customFormat="false" ht="15" hidden="false" customHeight="false" outlineLevel="0" collapsed="false">
      <c r="A333" s="23" t="s">
        <v>417</v>
      </c>
      <c r="B333" s="24" t="n">
        <v>45893</v>
      </c>
      <c r="C333" s="23" t="n">
        <f aca="false">MONTH(B333)</f>
        <v>8</v>
      </c>
      <c r="D333" s="23" t="s">
        <v>23</v>
      </c>
      <c r="E333" s="23" t="s">
        <v>85</v>
      </c>
      <c r="F333" s="23" t="s">
        <v>71</v>
      </c>
      <c r="G333" s="23" t="str">
        <f aca="false">IFERROR(INDEX(Products!$B$2:$B$13,MATCH(F333,Products!$A$2:$A$13,0)),"Unknown")</f>
        <v>Accessories</v>
      </c>
      <c r="H333" s="23" t="n">
        <v>12</v>
      </c>
      <c r="I333" s="25" t="n">
        <f aca="false">IFERROR(INDEX(Products!$C$2:$C$13,MATCH(F333,Products!$A$2:$A$13,0)),0)</f>
        <v>45</v>
      </c>
      <c r="J333" s="25" t="n">
        <f aca="false">H333*I333</f>
        <v>540</v>
      </c>
      <c r="K333" s="25" t="n">
        <f aca="false">IFERROR(INDEX(Products!$D$2:$D$13,MATCH(F333,Products!$A$2:$A$13,0)),0)</f>
        <v>18</v>
      </c>
      <c r="L333" s="25" t="n">
        <f aca="false">H333*K333</f>
        <v>216</v>
      </c>
      <c r="M333" s="25" t="n">
        <f aca="false">J333-L333</f>
        <v>324</v>
      </c>
    </row>
    <row r="334" customFormat="false" ht="15" hidden="false" customHeight="false" outlineLevel="0" collapsed="false">
      <c r="A334" s="23" t="s">
        <v>418</v>
      </c>
      <c r="B334" s="24" t="n">
        <v>45894</v>
      </c>
      <c r="C334" s="23" t="n">
        <f aca="false">MONTH(B334)</f>
        <v>8</v>
      </c>
      <c r="D334" s="23" t="s">
        <v>21</v>
      </c>
      <c r="E334" s="23" t="s">
        <v>90</v>
      </c>
      <c r="F334" s="23" t="s">
        <v>83</v>
      </c>
      <c r="G334" s="23" t="str">
        <f aca="false">IFERROR(INDEX(Products!$B$2:$B$13,MATCH(F334,Products!$A$2:$A$13,0)),"Unknown")</f>
        <v>Phones</v>
      </c>
      <c r="H334" s="23" t="n">
        <v>1</v>
      </c>
      <c r="I334" s="25" t="n">
        <f aca="false">IFERROR(INDEX(Products!$C$2:$C$13,MATCH(F334,Products!$A$2:$A$13,0)),0)</f>
        <v>640</v>
      </c>
      <c r="J334" s="25" t="n">
        <f aca="false">H334*I334</f>
        <v>640</v>
      </c>
      <c r="K334" s="25" t="n">
        <f aca="false">IFERROR(INDEX(Products!$D$2:$D$13,MATCH(F334,Products!$A$2:$A$13,0)),0)</f>
        <v>470</v>
      </c>
      <c r="L334" s="25" t="n">
        <f aca="false">H334*K334</f>
        <v>470</v>
      </c>
      <c r="M334" s="25" t="n">
        <f aca="false">J334-L334</f>
        <v>170</v>
      </c>
    </row>
    <row r="335" customFormat="false" ht="15" hidden="false" customHeight="false" outlineLevel="0" collapsed="false">
      <c r="A335" s="23" t="s">
        <v>419</v>
      </c>
      <c r="B335" s="24" t="n">
        <v>45895</v>
      </c>
      <c r="C335" s="23" t="n">
        <f aca="false">MONTH(B335)</f>
        <v>8</v>
      </c>
      <c r="D335" s="23" t="s">
        <v>19</v>
      </c>
      <c r="E335" s="23" t="s">
        <v>73</v>
      </c>
      <c r="F335" s="23" t="s">
        <v>81</v>
      </c>
      <c r="G335" s="23" t="str">
        <f aca="false">IFERROR(INDEX(Products!$B$2:$B$13,MATCH(F335,Products!$A$2:$A$13,0)),"Unknown")</f>
        <v>Laptops</v>
      </c>
      <c r="H335" s="23" t="n">
        <v>5</v>
      </c>
      <c r="I335" s="25" t="n">
        <f aca="false">IFERROR(INDEX(Products!$C$2:$C$13,MATCH(F335,Products!$A$2:$A$13,0)),0)</f>
        <v>950</v>
      </c>
      <c r="J335" s="25" t="n">
        <f aca="false">H335*I335</f>
        <v>4750</v>
      </c>
      <c r="K335" s="25" t="n">
        <f aca="false">IFERROR(INDEX(Products!$D$2:$D$13,MATCH(F335,Products!$A$2:$A$13,0)),0)</f>
        <v>720</v>
      </c>
      <c r="L335" s="25" t="n">
        <f aca="false">H335*K335</f>
        <v>3600</v>
      </c>
      <c r="M335" s="25" t="n">
        <f aca="false">J335-L335</f>
        <v>1150</v>
      </c>
    </row>
    <row r="336" customFormat="false" ht="15" hidden="false" customHeight="false" outlineLevel="0" collapsed="false">
      <c r="A336" s="23" t="s">
        <v>420</v>
      </c>
      <c r="B336" s="24" t="n">
        <v>45895</v>
      </c>
      <c r="C336" s="23" t="n">
        <f aca="false">MONTH(B336)</f>
        <v>8</v>
      </c>
      <c r="D336" s="23" t="s">
        <v>17</v>
      </c>
      <c r="E336" s="23" t="s">
        <v>116</v>
      </c>
      <c r="F336" s="23" t="s">
        <v>79</v>
      </c>
      <c r="G336" s="23" t="str">
        <f aca="false">IFERROR(INDEX(Products!$B$2:$B$13,MATCH(F336,Products!$A$2:$A$13,0)),"Unknown")</f>
        <v>Accessories</v>
      </c>
      <c r="H336" s="23" t="n">
        <v>3</v>
      </c>
      <c r="I336" s="25" t="n">
        <f aca="false">IFERROR(INDEX(Products!$C$2:$C$13,MATCH(F336,Products!$A$2:$A$13,0)),0)</f>
        <v>190</v>
      </c>
      <c r="J336" s="25" t="n">
        <f aca="false">H336*I336</f>
        <v>570</v>
      </c>
      <c r="K336" s="25" t="n">
        <f aca="false">IFERROR(INDEX(Products!$D$2:$D$13,MATCH(F336,Products!$A$2:$A$13,0)),0)</f>
        <v>115</v>
      </c>
      <c r="L336" s="25" t="n">
        <f aca="false">H336*K336</f>
        <v>345</v>
      </c>
      <c r="M336" s="25" t="n">
        <f aca="false">J336-L336</f>
        <v>225</v>
      </c>
    </row>
    <row r="337" customFormat="false" ht="15" hidden="false" customHeight="false" outlineLevel="0" collapsed="false">
      <c r="A337" s="23" t="s">
        <v>421</v>
      </c>
      <c r="B337" s="24" t="n">
        <v>45896</v>
      </c>
      <c r="C337" s="23" t="n">
        <f aca="false">MONTH(B337)</f>
        <v>8</v>
      </c>
      <c r="D337" s="23" t="s">
        <v>23</v>
      </c>
      <c r="E337" s="23" t="s">
        <v>77</v>
      </c>
      <c r="F337" s="23" t="s">
        <v>98</v>
      </c>
      <c r="G337" s="23" t="str">
        <f aca="false">IFERROR(INDEX(Products!$B$2:$B$13,MATCH(F337,Products!$A$2:$A$13,0)),"Unknown")</f>
        <v>Monitors</v>
      </c>
      <c r="H337" s="23" t="n">
        <v>5</v>
      </c>
      <c r="I337" s="25" t="n">
        <f aca="false">IFERROR(INDEX(Products!$C$2:$C$13,MATCH(F337,Products!$A$2:$A$13,0)),0)</f>
        <v>480</v>
      </c>
      <c r="J337" s="25" t="n">
        <f aca="false">H337*I337</f>
        <v>2400</v>
      </c>
      <c r="K337" s="25" t="n">
        <f aca="false">IFERROR(INDEX(Products!$D$2:$D$13,MATCH(F337,Products!$A$2:$A$13,0)),0)</f>
        <v>350</v>
      </c>
      <c r="L337" s="25" t="n">
        <f aca="false">H337*K337</f>
        <v>1750</v>
      </c>
      <c r="M337" s="25" t="n">
        <f aca="false">J337-L337</f>
        <v>650</v>
      </c>
    </row>
    <row r="338" customFormat="false" ht="15" hidden="false" customHeight="false" outlineLevel="0" collapsed="false">
      <c r="A338" s="23" t="s">
        <v>422</v>
      </c>
      <c r="B338" s="24" t="n">
        <v>45897</v>
      </c>
      <c r="C338" s="23" t="n">
        <f aca="false">MONTH(B338)</f>
        <v>8</v>
      </c>
      <c r="D338" s="23" t="s">
        <v>21</v>
      </c>
      <c r="E338" s="23" t="s">
        <v>87</v>
      </c>
      <c r="F338" s="23" t="s">
        <v>81</v>
      </c>
      <c r="G338" s="23" t="str">
        <f aca="false">IFERROR(INDEX(Products!$B$2:$B$13,MATCH(F338,Products!$A$2:$A$13,0)),"Unknown")</f>
        <v>Laptops</v>
      </c>
      <c r="H338" s="23" t="n">
        <v>5</v>
      </c>
      <c r="I338" s="25" t="n">
        <f aca="false">IFERROR(INDEX(Products!$C$2:$C$13,MATCH(F338,Products!$A$2:$A$13,0)),0)</f>
        <v>950</v>
      </c>
      <c r="J338" s="25" t="n">
        <f aca="false">H338*I338</f>
        <v>4750</v>
      </c>
      <c r="K338" s="25" t="n">
        <f aca="false">IFERROR(INDEX(Products!$D$2:$D$13,MATCH(F338,Products!$A$2:$A$13,0)),0)</f>
        <v>720</v>
      </c>
      <c r="L338" s="25" t="n">
        <f aca="false">H338*K338</f>
        <v>3600</v>
      </c>
      <c r="M338" s="25" t="n">
        <f aca="false">J338-L338</f>
        <v>1150</v>
      </c>
    </row>
    <row r="339" customFormat="false" ht="15" hidden="false" customHeight="false" outlineLevel="0" collapsed="false">
      <c r="A339" s="23" t="s">
        <v>423</v>
      </c>
      <c r="B339" s="24" t="n">
        <v>45903</v>
      </c>
      <c r="C339" s="23" t="n">
        <f aca="false">MONTH(B339)</f>
        <v>9</v>
      </c>
      <c r="D339" s="23" t="s">
        <v>17</v>
      </c>
      <c r="E339" s="23" t="s">
        <v>67</v>
      </c>
      <c r="F339" s="23" t="s">
        <v>74</v>
      </c>
      <c r="G339" s="23" t="str">
        <f aca="false">IFERROR(INDEX(Products!$B$2:$B$13,MATCH(F339,Products!$A$2:$A$13,0)),"Unknown")</f>
        <v>Monitors</v>
      </c>
      <c r="H339" s="23" t="n">
        <v>2</v>
      </c>
      <c r="I339" s="25" t="n">
        <f aca="false">IFERROR(INDEX(Products!$C$2:$C$13,MATCH(F339,Products!$A$2:$A$13,0)),0)</f>
        <v>310</v>
      </c>
      <c r="J339" s="25" t="n">
        <f aca="false">H339*I339</f>
        <v>620</v>
      </c>
      <c r="K339" s="25" t="n">
        <f aca="false">IFERROR(INDEX(Products!$D$2:$D$13,MATCH(F339,Products!$A$2:$A$13,0)),0)</f>
        <v>225</v>
      </c>
      <c r="L339" s="25" t="n">
        <f aca="false">H339*K339</f>
        <v>450</v>
      </c>
      <c r="M339" s="25" t="n">
        <f aca="false">J339-L339</f>
        <v>170</v>
      </c>
    </row>
    <row r="340" customFormat="false" ht="15" hidden="false" customHeight="false" outlineLevel="0" collapsed="false">
      <c r="A340" s="23" t="s">
        <v>424</v>
      </c>
      <c r="B340" s="24" t="n">
        <v>45905</v>
      </c>
      <c r="C340" s="23" t="n">
        <f aca="false">MONTH(B340)</f>
        <v>9</v>
      </c>
      <c r="D340" s="23" t="s">
        <v>17</v>
      </c>
      <c r="E340" s="23" t="s">
        <v>116</v>
      </c>
      <c r="F340" s="23" t="s">
        <v>81</v>
      </c>
      <c r="G340" s="23" t="str">
        <f aca="false">IFERROR(INDEX(Products!$B$2:$B$13,MATCH(F340,Products!$A$2:$A$13,0)),"Unknown")</f>
        <v>Laptops</v>
      </c>
      <c r="H340" s="23" t="n">
        <v>4</v>
      </c>
      <c r="I340" s="25" t="n">
        <f aca="false">IFERROR(INDEX(Products!$C$2:$C$13,MATCH(F340,Products!$A$2:$A$13,0)),0)</f>
        <v>950</v>
      </c>
      <c r="J340" s="25" t="n">
        <f aca="false">H340*I340</f>
        <v>3800</v>
      </c>
      <c r="K340" s="25" t="n">
        <f aca="false">IFERROR(INDEX(Products!$D$2:$D$13,MATCH(F340,Products!$A$2:$A$13,0)),0)</f>
        <v>720</v>
      </c>
      <c r="L340" s="25" t="n">
        <f aca="false">H340*K340</f>
        <v>2880</v>
      </c>
      <c r="M340" s="25" t="n">
        <f aca="false">J340-L340</f>
        <v>920</v>
      </c>
    </row>
    <row r="341" customFormat="false" ht="15" hidden="false" customHeight="false" outlineLevel="0" collapsed="false">
      <c r="A341" s="23" t="s">
        <v>425</v>
      </c>
      <c r="B341" s="24" t="n">
        <v>45905</v>
      </c>
      <c r="C341" s="23" t="n">
        <f aca="false">MONTH(B341)</f>
        <v>9</v>
      </c>
      <c r="D341" s="23" t="s">
        <v>21</v>
      </c>
      <c r="E341" s="23" t="s">
        <v>90</v>
      </c>
      <c r="F341" s="23" t="s">
        <v>71</v>
      </c>
      <c r="G341" s="23" t="str">
        <f aca="false">IFERROR(INDEX(Products!$B$2:$B$13,MATCH(F341,Products!$A$2:$A$13,0)),"Unknown")</f>
        <v>Accessories</v>
      </c>
      <c r="H341" s="23" t="n">
        <v>15</v>
      </c>
      <c r="I341" s="25" t="n">
        <f aca="false">IFERROR(INDEX(Products!$C$2:$C$13,MATCH(F341,Products!$A$2:$A$13,0)),0)</f>
        <v>45</v>
      </c>
      <c r="J341" s="25" t="n">
        <f aca="false">H341*I341</f>
        <v>675</v>
      </c>
      <c r="K341" s="25" t="n">
        <f aca="false">IFERROR(INDEX(Products!$D$2:$D$13,MATCH(F341,Products!$A$2:$A$13,0)),0)</f>
        <v>18</v>
      </c>
      <c r="L341" s="25" t="n">
        <f aca="false">H341*K341</f>
        <v>270</v>
      </c>
      <c r="M341" s="25" t="n">
        <f aca="false">J341-L341</f>
        <v>405</v>
      </c>
    </row>
    <row r="342" customFormat="false" ht="15" hidden="false" customHeight="false" outlineLevel="0" collapsed="false">
      <c r="A342" s="23" t="s">
        <v>426</v>
      </c>
      <c r="B342" s="24" t="n">
        <v>45906</v>
      </c>
      <c r="C342" s="23" t="n">
        <f aca="false">MONTH(B342)</f>
        <v>9</v>
      </c>
      <c r="D342" s="23" t="s">
        <v>19</v>
      </c>
      <c r="E342" s="23" t="s">
        <v>70</v>
      </c>
      <c r="F342" s="23" t="s">
        <v>104</v>
      </c>
      <c r="G342" s="23" t="str">
        <f aca="false">IFERROR(INDEX(Products!$B$2:$B$13,MATCH(F342,Products!$A$2:$A$13,0)),"Unknown")</f>
        <v>Phones</v>
      </c>
      <c r="H342" s="23" t="n">
        <v>2</v>
      </c>
      <c r="I342" s="25" t="n">
        <f aca="false">IFERROR(INDEX(Products!$C$2:$C$13,MATCH(F342,Products!$A$2:$A$13,0)),0)</f>
        <v>290</v>
      </c>
      <c r="J342" s="25" t="n">
        <f aca="false">H342*I342</f>
        <v>580</v>
      </c>
      <c r="K342" s="25" t="n">
        <f aca="false">IFERROR(INDEX(Products!$D$2:$D$13,MATCH(F342,Products!$A$2:$A$13,0)),0)</f>
        <v>205</v>
      </c>
      <c r="L342" s="25" t="n">
        <f aca="false">H342*K342</f>
        <v>410</v>
      </c>
      <c r="M342" s="25" t="n">
        <f aca="false">J342-L342</f>
        <v>170</v>
      </c>
    </row>
    <row r="343" customFormat="false" ht="15" hidden="false" customHeight="false" outlineLevel="0" collapsed="false">
      <c r="A343" s="23" t="s">
        <v>427</v>
      </c>
      <c r="B343" s="24" t="n">
        <v>45906</v>
      </c>
      <c r="C343" s="23" t="n">
        <f aca="false">MONTH(B343)</f>
        <v>9</v>
      </c>
      <c r="D343" s="23" t="s">
        <v>23</v>
      </c>
      <c r="E343" s="23" t="s">
        <v>77</v>
      </c>
      <c r="F343" s="23" t="s">
        <v>91</v>
      </c>
      <c r="G343" s="23" t="str">
        <f aca="false">IFERROR(INDEX(Products!$B$2:$B$13,MATCH(F343,Products!$A$2:$A$13,0)),"Unknown")</f>
        <v>Tablets</v>
      </c>
      <c r="H343" s="23" t="n">
        <v>5</v>
      </c>
      <c r="I343" s="25" t="n">
        <f aca="false">IFERROR(INDEX(Products!$C$2:$C$13,MATCH(F343,Products!$A$2:$A$13,0)),0)</f>
        <v>420</v>
      </c>
      <c r="J343" s="25" t="n">
        <f aca="false">H343*I343</f>
        <v>2100</v>
      </c>
      <c r="K343" s="25" t="n">
        <f aca="false">IFERROR(INDEX(Products!$D$2:$D$13,MATCH(F343,Products!$A$2:$A$13,0)),0)</f>
        <v>300</v>
      </c>
      <c r="L343" s="25" t="n">
        <f aca="false">H343*K343</f>
        <v>1500</v>
      </c>
      <c r="M343" s="25" t="n">
        <f aca="false">J343-L343</f>
        <v>600</v>
      </c>
    </row>
    <row r="344" customFormat="false" ht="15" hidden="false" customHeight="false" outlineLevel="0" collapsed="false">
      <c r="A344" s="23" t="s">
        <v>428</v>
      </c>
      <c r="B344" s="24" t="n">
        <v>45907</v>
      </c>
      <c r="C344" s="23" t="n">
        <f aca="false">MONTH(B344)</f>
        <v>9</v>
      </c>
      <c r="D344" s="23" t="s">
        <v>23</v>
      </c>
      <c r="E344" s="23" t="s">
        <v>77</v>
      </c>
      <c r="F344" s="23" t="s">
        <v>96</v>
      </c>
      <c r="G344" s="23" t="str">
        <f aca="false">IFERROR(INDEX(Products!$B$2:$B$13,MATCH(F344,Products!$A$2:$A$13,0)),"Unknown")</f>
        <v>Tablets</v>
      </c>
      <c r="H344" s="23" t="n">
        <v>1</v>
      </c>
      <c r="I344" s="25" t="n">
        <f aca="false">IFERROR(INDEX(Products!$C$2:$C$13,MATCH(F344,Products!$A$2:$A$13,0)),0)</f>
        <v>260</v>
      </c>
      <c r="J344" s="25" t="n">
        <f aca="false">H344*I344</f>
        <v>260</v>
      </c>
      <c r="K344" s="25" t="n">
        <f aca="false">IFERROR(INDEX(Products!$D$2:$D$13,MATCH(F344,Products!$A$2:$A$13,0)),0)</f>
        <v>180</v>
      </c>
      <c r="L344" s="25" t="n">
        <f aca="false">H344*K344</f>
        <v>180</v>
      </c>
      <c r="M344" s="25" t="n">
        <f aca="false">J344-L344</f>
        <v>80</v>
      </c>
    </row>
    <row r="345" customFormat="false" ht="15" hidden="false" customHeight="false" outlineLevel="0" collapsed="false">
      <c r="A345" s="23" t="s">
        <v>429</v>
      </c>
      <c r="B345" s="24" t="n">
        <v>45908</v>
      </c>
      <c r="C345" s="23" t="n">
        <f aca="false">MONTH(B345)</f>
        <v>9</v>
      </c>
      <c r="D345" s="23" t="s">
        <v>23</v>
      </c>
      <c r="E345" s="23" t="s">
        <v>85</v>
      </c>
      <c r="F345" s="23" t="s">
        <v>81</v>
      </c>
      <c r="G345" s="23" t="str">
        <f aca="false">IFERROR(INDEX(Products!$B$2:$B$13,MATCH(F345,Products!$A$2:$A$13,0)),"Unknown")</f>
        <v>Laptops</v>
      </c>
      <c r="H345" s="23" t="n">
        <v>3</v>
      </c>
      <c r="I345" s="25" t="n">
        <f aca="false">IFERROR(INDEX(Products!$C$2:$C$13,MATCH(F345,Products!$A$2:$A$13,0)),0)</f>
        <v>950</v>
      </c>
      <c r="J345" s="25" t="n">
        <f aca="false">H345*I345</f>
        <v>2850</v>
      </c>
      <c r="K345" s="25" t="n">
        <f aca="false">IFERROR(INDEX(Products!$D$2:$D$13,MATCH(F345,Products!$A$2:$A$13,0)),0)</f>
        <v>720</v>
      </c>
      <c r="L345" s="25" t="n">
        <f aca="false">H345*K345</f>
        <v>2160</v>
      </c>
      <c r="M345" s="25" t="n">
        <f aca="false">J345-L345</f>
        <v>690</v>
      </c>
    </row>
    <row r="346" customFormat="false" ht="15" hidden="false" customHeight="false" outlineLevel="0" collapsed="false">
      <c r="A346" s="23" t="s">
        <v>430</v>
      </c>
      <c r="B346" s="24" t="n">
        <v>45908</v>
      </c>
      <c r="C346" s="23" t="n">
        <f aca="false">MONTH(B346)</f>
        <v>9</v>
      </c>
      <c r="D346" s="23" t="s">
        <v>23</v>
      </c>
      <c r="E346" s="23" t="s">
        <v>77</v>
      </c>
      <c r="F346" s="23" t="s">
        <v>104</v>
      </c>
      <c r="G346" s="23" t="str">
        <f aca="false">IFERROR(INDEX(Products!$B$2:$B$13,MATCH(F346,Products!$A$2:$A$13,0)),"Unknown")</f>
        <v>Phones</v>
      </c>
      <c r="H346" s="23" t="n">
        <v>1</v>
      </c>
      <c r="I346" s="25" t="n">
        <f aca="false">IFERROR(INDEX(Products!$C$2:$C$13,MATCH(F346,Products!$A$2:$A$13,0)),0)</f>
        <v>290</v>
      </c>
      <c r="J346" s="25" t="n">
        <f aca="false">H346*I346</f>
        <v>290</v>
      </c>
      <c r="K346" s="25" t="n">
        <f aca="false">IFERROR(INDEX(Products!$D$2:$D$13,MATCH(F346,Products!$A$2:$A$13,0)),0)</f>
        <v>205</v>
      </c>
      <c r="L346" s="25" t="n">
        <f aca="false">H346*K346</f>
        <v>205</v>
      </c>
      <c r="M346" s="25" t="n">
        <f aca="false">J346-L346</f>
        <v>85</v>
      </c>
    </row>
    <row r="347" customFormat="false" ht="15" hidden="false" customHeight="false" outlineLevel="0" collapsed="false">
      <c r="A347" s="23" t="s">
        <v>431</v>
      </c>
      <c r="B347" s="24" t="n">
        <v>45908</v>
      </c>
      <c r="C347" s="23" t="n">
        <f aca="false">MONTH(B347)</f>
        <v>9</v>
      </c>
      <c r="D347" s="23" t="s">
        <v>23</v>
      </c>
      <c r="E347" s="23" t="s">
        <v>77</v>
      </c>
      <c r="F347" s="23" t="s">
        <v>68</v>
      </c>
      <c r="G347" s="23" t="str">
        <f aca="false">IFERROR(INDEX(Products!$B$2:$B$13,MATCH(F347,Products!$A$2:$A$13,0)),"Unknown")</f>
        <v>Laptops</v>
      </c>
      <c r="H347" s="23" t="n">
        <v>5</v>
      </c>
      <c r="I347" s="25" t="n">
        <f aca="false">IFERROR(INDEX(Products!$C$2:$C$13,MATCH(F347,Products!$A$2:$A$13,0)),0)</f>
        <v>780</v>
      </c>
      <c r="J347" s="25" t="n">
        <f aca="false">H347*I347</f>
        <v>3900</v>
      </c>
      <c r="K347" s="25" t="n">
        <f aca="false">IFERROR(INDEX(Products!$D$2:$D$13,MATCH(F347,Products!$A$2:$A$13,0)),0)</f>
        <v>590</v>
      </c>
      <c r="L347" s="25" t="n">
        <f aca="false">H347*K347</f>
        <v>2950</v>
      </c>
      <c r="M347" s="25" t="n">
        <f aca="false">J347-L347</f>
        <v>950</v>
      </c>
    </row>
    <row r="348" customFormat="false" ht="15" hidden="false" customHeight="false" outlineLevel="0" collapsed="false">
      <c r="A348" s="23" t="s">
        <v>432</v>
      </c>
      <c r="B348" s="24" t="n">
        <v>45908</v>
      </c>
      <c r="C348" s="23" t="n">
        <f aca="false">MONTH(B348)</f>
        <v>9</v>
      </c>
      <c r="D348" s="23" t="s">
        <v>19</v>
      </c>
      <c r="E348" s="23" t="s">
        <v>73</v>
      </c>
      <c r="F348" s="23" t="s">
        <v>71</v>
      </c>
      <c r="G348" s="23" t="str">
        <f aca="false">IFERROR(INDEX(Products!$B$2:$B$13,MATCH(F348,Products!$A$2:$A$13,0)),"Unknown")</f>
        <v>Accessories</v>
      </c>
      <c r="H348" s="23" t="n">
        <v>9</v>
      </c>
      <c r="I348" s="25" t="n">
        <f aca="false">IFERROR(INDEX(Products!$C$2:$C$13,MATCH(F348,Products!$A$2:$A$13,0)),0)</f>
        <v>45</v>
      </c>
      <c r="J348" s="25" t="n">
        <f aca="false">H348*I348</f>
        <v>405</v>
      </c>
      <c r="K348" s="25" t="n">
        <f aca="false">IFERROR(INDEX(Products!$D$2:$D$13,MATCH(F348,Products!$A$2:$A$13,0)),0)</f>
        <v>18</v>
      </c>
      <c r="L348" s="25" t="n">
        <f aca="false">H348*K348</f>
        <v>162</v>
      </c>
      <c r="M348" s="25" t="n">
        <f aca="false">J348-L348</f>
        <v>243</v>
      </c>
    </row>
    <row r="349" customFormat="false" ht="15" hidden="false" customHeight="false" outlineLevel="0" collapsed="false">
      <c r="A349" s="23" t="s">
        <v>433</v>
      </c>
      <c r="B349" s="24" t="n">
        <v>45908</v>
      </c>
      <c r="C349" s="23" t="n">
        <f aca="false">MONTH(B349)</f>
        <v>9</v>
      </c>
      <c r="D349" s="23" t="s">
        <v>19</v>
      </c>
      <c r="E349" s="23" t="s">
        <v>73</v>
      </c>
      <c r="F349" s="23" t="s">
        <v>88</v>
      </c>
      <c r="G349" s="23" t="str">
        <f aca="false">IFERROR(INDEX(Products!$B$2:$B$13,MATCH(F349,Products!$A$2:$A$13,0)),"Unknown")</f>
        <v>Accessories</v>
      </c>
      <c r="H349" s="23" t="n">
        <v>3</v>
      </c>
      <c r="I349" s="25" t="n">
        <f aca="false">IFERROR(INDEX(Products!$C$2:$C$13,MATCH(F349,Products!$A$2:$A$13,0)),0)</f>
        <v>85</v>
      </c>
      <c r="J349" s="25" t="n">
        <f aca="false">H349*I349</f>
        <v>255</v>
      </c>
      <c r="K349" s="25" t="n">
        <f aca="false">IFERROR(INDEX(Products!$D$2:$D$13,MATCH(F349,Products!$A$2:$A$13,0)),0)</f>
        <v>38</v>
      </c>
      <c r="L349" s="25" t="n">
        <f aca="false">H349*K349</f>
        <v>114</v>
      </c>
      <c r="M349" s="25" t="n">
        <f aca="false">J349-L349</f>
        <v>141</v>
      </c>
    </row>
    <row r="350" customFormat="false" ht="15" hidden="false" customHeight="false" outlineLevel="0" collapsed="false">
      <c r="A350" s="23" t="s">
        <v>434</v>
      </c>
      <c r="B350" s="24" t="n">
        <v>45909</v>
      </c>
      <c r="C350" s="23" t="n">
        <f aca="false">MONTH(B350)</f>
        <v>9</v>
      </c>
      <c r="D350" s="23" t="s">
        <v>21</v>
      </c>
      <c r="E350" s="23" t="s">
        <v>90</v>
      </c>
      <c r="F350" s="23" t="s">
        <v>79</v>
      </c>
      <c r="G350" s="23" t="str">
        <f aca="false">IFERROR(INDEX(Products!$B$2:$B$13,MATCH(F350,Products!$A$2:$A$13,0)),"Unknown")</f>
        <v>Accessories</v>
      </c>
      <c r="H350" s="23" t="n">
        <v>9</v>
      </c>
      <c r="I350" s="25" t="n">
        <f aca="false">IFERROR(INDEX(Products!$C$2:$C$13,MATCH(F350,Products!$A$2:$A$13,0)),0)</f>
        <v>190</v>
      </c>
      <c r="J350" s="25" t="n">
        <f aca="false">H350*I350</f>
        <v>1710</v>
      </c>
      <c r="K350" s="25" t="n">
        <f aca="false">IFERROR(INDEX(Products!$D$2:$D$13,MATCH(F350,Products!$A$2:$A$13,0)),0)</f>
        <v>115</v>
      </c>
      <c r="L350" s="25" t="n">
        <f aca="false">H350*K350</f>
        <v>1035</v>
      </c>
      <c r="M350" s="25" t="n">
        <f aca="false">J350-L350</f>
        <v>675</v>
      </c>
    </row>
    <row r="351" customFormat="false" ht="15" hidden="false" customHeight="false" outlineLevel="0" collapsed="false">
      <c r="A351" s="23" t="s">
        <v>435</v>
      </c>
      <c r="B351" s="24" t="n">
        <v>45909</v>
      </c>
      <c r="C351" s="23" t="n">
        <f aca="false">MONTH(B351)</f>
        <v>9</v>
      </c>
      <c r="D351" s="23" t="s">
        <v>19</v>
      </c>
      <c r="E351" s="23" t="s">
        <v>73</v>
      </c>
      <c r="F351" s="23" t="s">
        <v>79</v>
      </c>
      <c r="G351" s="23" t="str">
        <f aca="false">IFERROR(INDEX(Products!$B$2:$B$13,MATCH(F351,Products!$A$2:$A$13,0)),"Unknown")</f>
        <v>Accessories</v>
      </c>
      <c r="H351" s="23" t="n">
        <v>15</v>
      </c>
      <c r="I351" s="25" t="n">
        <f aca="false">IFERROR(INDEX(Products!$C$2:$C$13,MATCH(F351,Products!$A$2:$A$13,0)),0)</f>
        <v>190</v>
      </c>
      <c r="J351" s="25" t="n">
        <f aca="false">H351*I351</f>
        <v>2850</v>
      </c>
      <c r="K351" s="25" t="n">
        <f aca="false">IFERROR(INDEX(Products!$D$2:$D$13,MATCH(F351,Products!$A$2:$A$13,0)),0)</f>
        <v>115</v>
      </c>
      <c r="L351" s="25" t="n">
        <f aca="false">H351*K351</f>
        <v>1725</v>
      </c>
      <c r="M351" s="25" t="n">
        <f aca="false">J351-L351</f>
        <v>1125</v>
      </c>
    </row>
    <row r="352" customFormat="false" ht="15" hidden="false" customHeight="false" outlineLevel="0" collapsed="false">
      <c r="A352" s="23" t="s">
        <v>436</v>
      </c>
      <c r="B352" s="24" t="n">
        <v>45909</v>
      </c>
      <c r="C352" s="23" t="n">
        <f aca="false">MONTH(B352)</f>
        <v>9</v>
      </c>
      <c r="D352" s="23" t="s">
        <v>21</v>
      </c>
      <c r="E352" s="23" t="s">
        <v>87</v>
      </c>
      <c r="F352" s="23" t="s">
        <v>83</v>
      </c>
      <c r="G352" s="23" t="str">
        <f aca="false">IFERROR(INDEX(Products!$B$2:$B$13,MATCH(F352,Products!$A$2:$A$13,0)),"Unknown")</f>
        <v>Phones</v>
      </c>
      <c r="H352" s="23" t="n">
        <v>2</v>
      </c>
      <c r="I352" s="25" t="n">
        <f aca="false">IFERROR(INDEX(Products!$C$2:$C$13,MATCH(F352,Products!$A$2:$A$13,0)),0)</f>
        <v>640</v>
      </c>
      <c r="J352" s="25" t="n">
        <f aca="false">H352*I352</f>
        <v>1280</v>
      </c>
      <c r="K352" s="25" t="n">
        <f aca="false">IFERROR(INDEX(Products!$D$2:$D$13,MATCH(F352,Products!$A$2:$A$13,0)),0)</f>
        <v>470</v>
      </c>
      <c r="L352" s="25" t="n">
        <f aca="false">H352*K352</f>
        <v>940</v>
      </c>
      <c r="M352" s="25" t="n">
        <f aca="false">J352-L352</f>
        <v>340</v>
      </c>
    </row>
    <row r="353" customFormat="false" ht="15" hidden="false" customHeight="false" outlineLevel="0" collapsed="false">
      <c r="A353" s="23" t="s">
        <v>437</v>
      </c>
      <c r="B353" s="24" t="n">
        <v>45910</v>
      </c>
      <c r="C353" s="23" t="n">
        <f aca="false">MONTH(B353)</f>
        <v>9</v>
      </c>
      <c r="D353" s="23" t="s">
        <v>19</v>
      </c>
      <c r="E353" s="23" t="s">
        <v>70</v>
      </c>
      <c r="F353" s="23" t="s">
        <v>79</v>
      </c>
      <c r="G353" s="23" t="str">
        <f aca="false">IFERROR(INDEX(Products!$B$2:$B$13,MATCH(F353,Products!$A$2:$A$13,0)),"Unknown")</f>
        <v>Accessories</v>
      </c>
      <c r="H353" s="23" t="n">
        <v>3</v>
      </c>
      <c r="I353" s="25" t="n">
        <f aca="false">IFERROR(INDEX(Products!$C$2:$C$13,MATCH(F353,Products!$A$2:$A$13,0)),0)</f>
        <v>190</v>
      </c>
      <c r="J353" s="25" t="n">
        <f aca="false">H353*I353</f>
        <v>570</v>
      </c>
      <c r="K353" s="25" t="n">
        <f aca="false">IFERROR(INDEX(Products!$D$2:$D$13,MATCH(F353,Products!$A$2:$A$13,0)),0)</f>
        <v>115</v>
      </c>
      <c r="L353" s="25" t="n">
        <f aca="false">H353*K353</f>
        <v>345</v>
      </c>
      <c r="M353" s="25" t="n">
        <f aca="false">J353-L353</f>
        <v>225</v>
      </c>
    </row>
    <row r="354" customFormat="false" ht="15" hidden="false" customHeight="false" outlineLevel="0" collapsed="false">
      <c r="A354" s="23" t="s">
        <v>438</v>
      </c>
      <c r="B354" s="24" t="n">
        <v>45910</v>
      </c>
      <c r="C354" s="23" t="n">
        <f aca="false">MONTH(B354)</f>
        <v>9</v>
      </c>
      <c r="D354" s="23" t="s">
        <v>23</v>
      </c>
      <c r="E354" s="23" t="s">
        <v>85</v>
      </c>
      <c r="F354" s="23" t="s">
        <v>98</v>
      </c>
      <c r="G354" s="23" t="str">
        <f aca="false">IFERROR(INDEX(Products!$B$2:$B$13,MATCH(F354,Products!$A$2:$A$13,0)),"Unknown")</f>
        <v>Monitors</v>
      </c>
      <c r="H354" s="23" t="n">
        <v>5</v>
      </c>
      <c r="I354" s="25" t="n">
        <f aca="false">IFERROR(INDEX(Products!$C$2:$C$13,MATCH(F354,Products!$A$2:$A$13,0)),0)</f>
        <v>480</v>
      </c>
      <c r="J354" s="25" t="n">
        <f aca="false">H354*I354</f>
        <v>2400</v>
      </c>
      <c r="K354" s="25" t="n">
        <f aca="false">IFERROR(INDEX(Products!$D$2:$D$13,MATCH(F354,Products!$A$2:$A$13,0)),0)</f>
        <v>350</v>
      </c>
      <c r="L354" s="25" t="n">
        <f aca="false">H354*K354</f>
        <v>1750</v>
      </c>
      <c r="M354" s="25" t="n">
        <f aca="false">J354-L354</f>
        <v>650</v>
      </c>
    </row>
    <row r="355" customFormat="false" ht="15" hidden="false" customHeight="false" outlineLevel="0" collapsed="false">
      <c r="A355" s="23" t="s">
        <v>439</v>
      </c>
      <c r="B355" s="24" t="n">
        <v>45910</v>
      </c>
      <c r="C355" s="23" t="n">
        <f aca="false">MONTH(B355)</f>
        <v>9</v>
      </c>
      <c r="D355" s="23" t="s">
        <v>23</v>
      </c>
      <c r="E355" s="23" t="s">
        <v>85</v>
      </c>
      <c r="F355" s="23" t="s">
        <v>81</v>
      </c>
      <c r="G355" s="23" t="str">
        <f aca="false">IFERROR(INDEX(Products!$B$2:$B$13,MATCH(F355,Products!$A$2:$A$13,0)),"Unknown")</f>
        <v>Laptops</v>
      </c>
      <c r="H355" s="23" t="n">
        <v>4</v>
      </c>
      <c r="I355" s="25" t="n">
        <f aca="false">IFERROR(INDEX(Products!$C$2:$C$13,MATCH(F355,Products!$A$2:$A$13,0)),0)</f>
        <v>950</v>
      </c>
      <c r="J355" s="25" t="n">
        <f aca="false">H355*I355</f>
        <v>3800</v>
      </c>
      <c r="K355" s="25" t="n">
        <f aca="false">IFERROR(INDEX(Products!$D$2:$D$13,MATCH(F355,Products!$A$2:$A$13,0)),0)</f>
        <v>720</v>
      </c>
      <c r="L355" s="25" t="n">
        <f aca="false">H355*K355</f>
        <v>2880</v>
      </c>
      <c r="M355" s="25" t="n">
        <f aca="false">J355-L355</f>
        <v>920</v>
      </c>
    </row>
    <row r="356" customFormat="false" ht="15" hidden="false" customHeight="false" outlineLevel="0" collapsed="false">
      <c r="A356" s="23" t="s">
        <v>440</v>
      </c>
      <c r="B356" s="24" t="n">
        <v>45910</v>
      </c>
      <c r="C356" s="23" t="n">
        <f aca="false">MONTH(B356)</f>
        <v>9</v>
      </c>
      <c r="D356" s="23" t="s">
        <v>23</v>
      </c>
      <c r="E356" s="23" t="s">
        <v>85</v>
      </c>
      <c r="F356" s="23" t="s">
        <v>88</v>
      </c>
      <c r="G356" s="23" t="str">
        <f aca="false">IFERROR(INDEX(Products!$B$2:$B$13,MATCH(F356,Products!$A$2:$A$13,0)),"Unknown")</f>
        <v>Accessories</v>
      </c>
      <c r="H356" s="23" t="n">
        <v>15</v>
      </c>
      <c r="I356" s="25" t="n">
        <f aca="false">IFERROR(INDEX(Products!$C$2:$C$13,MATCH(F356,Products!$A$2:$A$13,0)),0)</f>
        <v>85</v>
      </c>
      <c r="J356" s="25" t="n">
        <f aca="false">H356*I356</f>
        <v>1275</v>
      </c>
      <c r="K356" s="25" t="n">
        <f aca="false">IFERROR(INDEX(Products!$D$2:$D$13,MATCH(F356,Products!$A$2:$A$13,0)),0)</f>
        <v>38</v>
      </c>
      <c r="L356" s="25" t="n">
        <f aca="false">H356*K356</f>
        <v>570</v>
      </c>
      <c r="M356" s="25" t="n">
        <f aca="false">J356-L356</f>
        <v>705</v>
      </c>
    </row>
    <row r="357" customFormat="false" ht="15" hidden="false" customHeight="false" outlineLevel="0" collapsed="false">
      <c r="A357" s="23" t="s">
        <v>441</v>
      </c>
      <c r="B357" s="24" t="n">
        <v>45911</v>
      </c>
      <c r="C357" s="23" t="n">
        <f aca="false">MONTH(B357)</f>
        <v>9</v>
      </c>
      <c r="D357" s="23" t="s">
        <v>17</v>
      </c>
      <c r="E357" s="23" t="s">
        <v>67</v>
      </c>
      <c r="F357" s="23" t="s">
        <v>91</v>
      </c>
      <c r="G357" s="23" t="str">
        <f aca="false">IFERROR(INDEX(Products!$B$2:$B$13,MATCH(F357,Products!$A$2:$A$13,0)),"Unknown")</f>
        <v>Tablets</v>
      </c>
      <c r="H357" s="23" t="n">
        <v>3</v>
      </c>
      <c r="I357" s="25" t="n">
        <f aca="false">IFERROR(INDEX(Products!$C$2:$C$13,MATCH(F357,Products!$A$2:$A$13,0)),0)</f>
        <v>420</v>
      </c>
      <c r="J357" s="25" t="n">
        <f aca="false">H357*I357</f>
        <v>1260</v>
      </c>
      <c r="K357" s="25" t="n">
        <f aca="false">IFERROR(INDEX(Products!$D$2:$D$13,MATCH(F357,Products!$A$2:$A$13,0)),0)</f>
        <v>300</v>
      </c>
      <c r="L357" s="25" t="n">
        <f aca="false">H357*K357</f>
        <v>900</v>
      </c>
      <c r="M357" s="25" t="n">
        <f aca="false">J357-L357</f>
        <v>360</v>
      </c>
    </row>
    <row r="358" customFormat="false" ht="15" hidden="false" customHeight="false" outlineLevel="0" collapsed="false">
      <c r="A358" s="23" t="s">
        <v>442</v>
      </c>
      <c r="B358" s="24" t="n">
        <v>45911</v>
      </c>
      <c r="C358" s="23" t="n">
        <f aca="false">MONTH(B358)</f>
        <v>9</v>
      </c>
      <c r="D358" s="23" t="s">
        <v>19</v>
      </c>
      <c r="E358" s="23" t="s">
        <v>70</v>
      </c>
      <c r="F358" s="23" t="s">
        <v>104</v>
      </c>
      <c r="G358" s="23" t="str">
        <f aca="false">IFERROR(INDEX(Products!$B$2:$B$13,MATCH(F358,Products!$A$2:$A$13,0)),"Unknown")</f>
        <v>Phones</v>
      </c>
      <c r="H358" s="23" t="n">
        <v>3</v>
      </c>
      <c r="I358" s="25" t="n">
        <f aca="false">IFERROR(INDEX(Products!$C$2:$C$13,MATCH(F358,Products!$A$2:$A$13,0)),0)</f>
        <v>290</v>
      </c>
      <c r="J358" s="25" t="n">
        <f aca="false">H358*I358</f>
        <v>870</v>
      </c>
      <c r="K358" s="25" t="n">
        <f aca="false">IFERROR(INDEX(Products!$D$2:$D$13,MATCH(F358,Products!$A$2:$A$13,0)),0)</f>
        <v>205</v>
      </c>
      <c r="L358" s="25" t="n">
        <f aca="false">H358*K358</f>
        <v>615</v>
      </c>
      <c r="M358" s="25" t="n">
        <f aca="false">J358-L358</f>
        <v>255</v>
      </c>
    </row>
    <row r="359" customFormat="false" ht="15" hidden="false" customHeight="false" outlineLevel="0" collapsed="false">
      <c r="A359" s="23" t="s">
        <v>443</v>
      </c>
      <c r="B359" s="24" t="n">
        <v>45911</v>
      </c>
      <c r="C359" s="23" t="n">
        <f aca="false">MONTH(B359)</f>
        <v>9</v>
      </c>
      <c r="D359" s="23" t="s">
        <v>19</v>
      </c>
      <c r="E359" s="23" t="s">
        <v>70</v>
      </c>
      <c r="F359" s="23" t="s">
        <v>91</v>
      </c>
      <c r="G359" s="23" t="str">
        <f aca="false">IFERROR(INDEX(Products!$B$2:$B$13,MATCH(F359,Products!$A$2:$A$13,0)),"Unknown")</f>
        <v>Tablets</v>
      </c>
      <c r="H359" s="23" t="n">
        <v>3</v>
      </c>
      <c r="I359" s="25" t="n">
        <f aca="false">IFERROR(INDEX(Products!$C$2:$C$13,MATCH(F359,Products!$A$2:$A$13,0)),0)</f>
        <v>420</v>
      </c>
      <c r="J359" s="25" t="n">
        <f aca="false">H359*I359</f>
        <v>1260</v>
      </c>
      <c r="K359" s="25" t="n">
        <f aca="false">IFERROR(INDEX(Products!$D$2:$D$13,MATCH(F359,Products!$A$2:$A$13,0)),0)</f>
        <v>300</v>
      </c>
      <c r="L359" s="25" t="n">
        <f aca="false">H359*K359</f>
        <v>900</v>
      </c>
      <c r="M359" s="25" t="n">
        <f aca="false">J359-L359</f>
        <v>360</v>
      </c>
    </row>
    <row r="360" customFormat="false" ht="15" hidden="false" customHeight="false" outlineLevel="0" collapsed="false">
      <c r="A360" s="23" t="s">
        <v>444</v>
      </c>
      <c r="B360" s="24" t="n">
        <v>45912</v>
      </c>
      <c r="C360" s="23" t="n">
        <f aca="false">MONTH(B360)</f>
        <v>9</v>
      </c>
      <c r="D360" s="23" t="s">
        <v>21</v>
      </c>
      <c r="E360" s="23" t="s">
        <v>90</v>
      </c>
      <c r="F360" s="23" t="s">
        <v>88</v>
      </c>
      <c r="G360" s="23" t="str">
        <f aca="false">IFERROR(INDEX(Products!$B$2:$B$13,MATCH(F360,Products!$A$2:$A$13,0)),"Unknown")</f>
        <v>Accessories</v>
      </c>
      <c r="H360" s="23" t="n">
        <v>9</v>
      </c>
      <c r="I360" s="25" t="n">
        <f aca="false">IFERROR(INDEX(Products!$C$2:$C$13,MATCH(F360,Products!$A$2:$A$13,0)),0)</f>
        <v>85</v>
      </c>
      <c r="J360" s="25" t="n">
        <f aca="false">H360*I360</f>
        <v>765</v>
      </c>
      <c r="K360" s="25" t="n">
        <f aca="false">IFERROR(INDEX(Products!$D$2:$D$13,MATCH(F360,Products!$A$2:$A$13,0)),0)</f>
        <v>38</v>
      </c>
      <c r="L360" s="25" t="n">
        <f aca="false">H360*K360</f>
        <v>342</v>
      </c>
      <c r="M360" s="25" t="n">
        <f aca="false">J360-L360</f>
        <v>423</v>
      </c>
    </row>
    <row r="361" customFormat="false" ht="15" hidden="false" customHeight="false" outlineLevel="0" collapsed="false">
      <c r="A361" s="23" t="s">
        <v>445</v>
      </c>
      <c r="B361" s="24" t="n">
        <v>45913</v>
      </c>
      <c r="C361" s="23" t="n">
        <f aca="false">MONTH(B361)</f>
        <v>9</v>
      </c>
      <c r="D361" s="23" t="s">
        <v>19</v>
      </c>
      <c r="E361" s="23" t="s">
        <v>70</v>
      </c>
      <c r="F361" s="23" t="s">
        <v>79</v>
      </c>
      <c r="G361" s="23" t="str">
        <f aca="false">IFERROR(INDEX(Products!$B$2:$B$13,MATCH(F361,Products!$A$2:$A$13,0)),"Unknown")</f>
        <v>Accessories</v>
      </c>
      <c r="H361" s="23" t="n">
        <v>3</v>
      </c>
      <c r="I361" s="25" t="n">
        <f aca="false">IFERROR(INDEX(Products!$C$2:$C$13,MATCH(F361,Products!$A$2:$A$13,0)),0)</f>
        <v>190</v>
      </c>
      <c r="J361" s="25" t="n">
        <f aca="false">H361*I361</f>
        <v>570</v>
      </c>
      <c r="K361" s="25" t="n">
        <f aca="false">IFERROR(INDEX(Products!$D$2:$D$13,MATCH(F361,Products!$A$2:$A$13,0)),0)</f>
        <v>115</v>
      </c>
      <c r="L361" s="25" t="n">
        <f aca="false">H361*K361</f>
        <v>345</v>
      </c>
      <c r="M361" s="25" t="n">
        <f aca="false">J361-L361</f>
        <v>225</v>
      </c>
    </row>
    <row r="362" customFormat="false" ht="15" hidden="false" customHeight="false" outlineLevel="0" collapsed="false">
      <c r="A362" s="23" t="s">
        <v>446</v>
      </c>
      <c r="B362" s="24" t="n">
        <v>45913</v>
      </c>
      <c r="C362" s="23" t="n">
        <f aca="false">MONTH(B362)</f>
        <v>9</v>
      </c>
      <c r="D362" s="23" t="s">
        <v>17</v>
      </c>
      <c r="E362" s="23" t="s">
        <v>116</v>
      </c>
      <c r="F362" s="23" t="s">
        <v>88</v>
      </c>
      <c r="G362" s="23" t="str">
        <f aca="false">IFERROR(INDEX(Products!$B$2:$B$13,MATCH(F362,Products!$A$2:$A$13,0)),"Unknown")</f>
        <v>Accessories</v>
      </c>
      <c r="H362" s="23" t="n">
        <v>6</v>
      </c>
      <c r="I362" s="25" t="n">
        <f aca="false">IFERROR(INDEX(Products!$C$2:$C$13,MATCH(F362,Products!$A$2:$A$13,0)),0)</f>
        <v>85</v>
      </c>
      <c r="J362" s="25" t="n">
        <f aca="false">H362*I362</f>
        <v>510</v>
      </c>
      <c r="K362" s="25" t="n">
        <f aca="false">IFERROR(INDEX(Products!$D$2:$D$13,MATCH(F362,Products!$A$2:$A$13,0)),0)</f>
        <v>38</v>
      </c>
      <c r="L362" s="25" t="n">
        <f aca="false">H362*K362</f>
        <v>228</v>
      </c>
      <c r="M362" s="25" t="n">
        <f aca="false">J362-L362</f>
        <v>282</v>
      </c>
    </row>
    <row r="363" customFormat="false" ht="15" hidden="false" customHeight="false" outlineLevel="0" collapsed="false">
      <c r="A363" s="23" t="s">
        <v>447</v>
      </c>
      <c r="B363" s="24" t="n">
        <v>45913</v>
      </c>
      <c r="C363" s="23" t="n">
        <f aca="false">MONTH(B363)</f>
        <v>9</v>
      </c>
      <c r="D363" s="23" t="s">
        <v>21</v>
      </c>
      <c r="E363" s="23" t="s">
        <v>87</v>
      </c>
      <c r="F363" s="23" t="s">
        <v>88</v>
      </c>
      <c r="G363" s="23" t="str">
        <f aca="false">IFERROR(INDEX(Products!$B$2:$B$13,MATCH(F363,Products!$A$2:$A$13,0)),"Unknown")</f>
        <v>Accessories</v>
      </c>
      <c r="H363" s="23" t="n">
        <v>15</v>
      </c>
      <c r="I363" s="25" t="n">
        <f aca="false">IFERROR(INDEX(Products!$C$2:$C$13,MATCH(F363,Products!$A$2:$A$13,0)),0)</f>
        <v>85</v>
      </c>
      <c r="J363" s="25" t="n">
        <f aca="false">H363*I363</f>
        <v>1275</v>
      </c>
      <c r="K363" s="25" t="n">
        <f aca="false">IFERROR(INDEX(Products!$D$2:$D$13,MATCH(F363,Products!$A$2:$A$13,0)),0)</f>
        <v>38</v>
      </c>
      <c r="L363" s="25" t="n">
        <f aca="false">H363*K363</f>
        <v>570</v>
      </c>
      <c r="M363" s="25" t="n">
        <f aca="false">J363-L363</f>
        <v>705</v>
      </c>
    </row>
    <row r="364" customFormat="false" ht="15" hidden="false" customHeight="false" outlineLevel="0" collapsed="false">
      <c r="A364" s="23" t="s">
        <v>448</v>
      </c>
      <c r="B364" s="24" t="n">
        <v>45914</v>
      </c>
      <c r="C364" s="23" t="n">
        <f aca="false">MONTH(B364)</f>
        <v>9</v>
      </c>
      <c r="D364" s="23" t="s">
        <v>19</v>
      </c>
      <c r="E364" s="23" t="s">
        <v>70</v>
      </c>
      <c r="F364" s="23" t="s">
        <v>91</v>
      </c>
      <c r="G364" s="23" t="str">
        <f aca="false">IFERROR(INDEX(Products!$B$2:$B$13,MATCH(F364,Products!$A$2:$A$13,0)),"Unknown")</f>
        <v>Tablets</v>
      </c>
      <c r="H364" s="23" t="n">
        <v>2</v>
      </c>
      <c r="I364" s="25" t="n">
        <f aca="false">IFERROR(INDEX(Products!$C$2:$C$13,MATCH(F364,Products!$A$2:$A$13,0)),0)</f>
        <v>420</v>
      </c>
      <c r="J364" s="25" t="n">
        <f aca="false">H364*I364</f>
        <v>840</v>
      </c>
      <c r="K364" s="25" t="n">
        <f aca="false">IFERROR(INDEX(Products!$D$2:$D$13,MATCH(F364,Products!$A$2:$A$13,0)),0)</f>
        <v>300</v>
      </c>
      <c r="L364" s="25" t="n">
        <f aca="false">H364*K364</f>
        <v>600</v>
      </c>
      <c r="M364" s="25" t="n">
        <f aca="false">J364-L364</f>
        <v>240</v>
      </c>
    </row>
    <row r="365" customFormat="false" ht="15" hidden="false" customHeight="false" outlineLevel="0" collapsed="false">
      <c r="A365" s="23" t="s">
        <v>449</v>
      </c>
      <c r="B365" s="24" t="n">
        <v>45916</v>
      </c>
      <c r="C365" s="23" t="n">
        <f aca="false">MONTH(B365)</f>
        <v>9</v>
      </c>
      <c r="D365" s="23" t="s">
        <v>17</v>
      </c>
      <c r="E365" s="23" t="s">
        <v>116</v>
      </c>
      <c r="F365" s="23" t="s">
        <v>104</v>
      </c>
      <c r="G365" s="23" t="str">
        <f aca="false">IFERROR(INDEX(Products!$B$2:$B$13,MATCH(F365,Products!$A$2:$A$13,0)),"Unknown")</f>
        <v>Phones</v>
      </c>
      <c r="H365" s="23" t="n">
        <v>1</v>
      </c>
      <c r="I365" s="25" t="n">
        <f aca="false">IFERROR(INDEX(Products!$C$2:$C$13,MATCH(F365,Products!$A$2:$A$13,0)),0)</f>
        <v>290</v>
      </c>
      <c r="J365" s="25" t="n">
        <f aca="false">H365*I365</f>
        <v>290</v>
      </c>
      <c r="K365" s="25" t="n">
        <f aca="false">IFERROR(INDEX(Products!$D$2:$D$13,MATCH(F365,Products!$A$2:$A$13,0)),0)</f>
        <v>205</v>
      </c>
      <c r="L365" s="25" t="n">
        <f aca="false">H365*K365</f>
        <v>205</v>
      </c>
      <c r="M365" s="25" t="n">
        <f aca="false">J365-L365</f>
        <v>85</v>
      </c>
    </row>
    <row r="366" customFormat="false" ht="15" hidden="false" customHeight="false" outlineLevel="0" collapsed="false">
      <c r="A366" s="23" t="s">
        <v>450</v>
      </c>
      <c r="B366" s="24" t="n">
        <v>45917</v>
      </c>
      <c r="C366" s="23" t="n">
        <f aca="false">MONTH(B366)</f>
        <v>9</v>
      </c>
      <c r="D366" s="23" t="s">
        <v>19</v>
      </c>
      <c r="E366" s="23" t="s">
        <v>73</v>
      </c>
      <c r="F366" s="23" t="s">
        <v>68</v>
      </c>
      <c r="G366" s="23" t="str">
        <f aca="false">IFERROR(INDEX(Products!$B$2:$B$13,MATCH(F366,Products!$A$2:$A$13,0)),"Unknown")</f>
        <v>Laptops</v>
      </c>
      <c r="H366" s="23" t="n">
        <v>2</v>
      </c>
      <c r="I366" s="25" t="n">
        <f aca="false">IFERROR(INDEX(Products!$C$2:$C$13,MATCH(F366,Products!$A$2:$A$13,0)),0)</f>
        <v>780</v>
      </c>
      <c r="J366" s="25" t="n">
        <f aca="false">H366*I366</f>
        <v>1560</v>
      </c>
      <c r="K366" s="25" t="n">
        <f aca="false">IFERROR(INDEX(Products!$D$2:$D$13,MATCH(F366,Products!$A$2:$A$13,0)),0)</f>
        <v>590</v>
      </c>
      <c r="L366" s="25" t="n">
        <f aca="false">H366*K366</f>
        <v>1180</v>
      </c>
      <c r="M366" s="25" t="n">
        <f aca="false">J366-L366</f>
        <v>380</v>
      </c>
    </row>
    <row r="367" customFormat="false" ht="15" hidden="false" customHeight="false" outlineLevel="0" collapsed="false">
      <c r="A367" s="23" t="s">
        <v>451</v>
      </c>
      <c r="B367" s="24" t="n">
        <v>45917</v>
      </c>
      <c r="C367" s="23" t="n">
        <f aca="false">MONTH(B367)</f>
        <v>9</v>
      </c>
      <c r="D367" s="23" t="s">
        <v>17</v>
      </c>
      <c r="E367" s="23" t="s">
        <v>116</v>
      </c>
      <c r="F367" s="23" t="s">
        <v>71</v>
      </c>
      <c r="G367" s="23" t="str">
        <f aca="false">IFERROR(INDEX(Products!$B$2:$B$13,MATCH(F367,Products!$A$2:$A$13,0)),"Unknown")</f>
        <v>Accessories</v>
      </c>
      <c r="H367" s="23" t="n">
        <v>3</v>
      </c>
      <c r="I367" s="25" t="n">
        <f aca="false">IFERROR(INDEX(Products!$C$2:$C$13,MATCH(F367,Products!$A$2:$A$13,0)),0)</f>
        <v>45</v>
      </c>
      <c r="J367" s="25" t="n">
        <f aca="false">H367*I367</f>
        <v>135</v>
      </c>
      <c r="K367" s="25" t="n">
        <f aca="false">IFERROR(INDEX(Products!$D$2:$D$13,MATCH(F367,Products!$A$2:$A$13,0)),0)</f>
        <v>18</v>
      </c>
      <c r="L367" s="25" t="n">
        <f aca="false">H367*K367</f>
        <v>54</v>
      </c>
      <c r="M367" s="25" t="n">
        <f aca="false">J367-L367</f>
        <v>81</v>
      </c>
    </row>
    <row r="368" customFormat="false" ht="15" hidden="false" customHeight="false" outlineLevel="0" collapsed="false">
      <c r="A368" s="23" t="s">
        <v>452</v>
      </c>
      <c r="B368" s="24" t="n">
        <v>45917</v>
      </c>
      <c r="C368" s="23" t="n">
        <f aca="false">MONTH(B368)</f>
        <v>9</v>
      </c>
      <c r="D368" s="23" t="s">
        <v>21</v>
      </c>
      <c r="E368" s="23" t="s">
        <v>90</v>
      </c>
      <c r="F368" s="23" t="s">
        <v>71</v>
      </c>
      <c r="G368" s="23" t="str">
        <f aca="false">IFERROR(INDEX(Products!$B$2:$B$13,MATCH(F368,Products!$A$2:$A$13,0)),"Unknown")</f>
        <v>Accessories</v>
      </c>
      <c r="H368" s="23" t="n">
        <v>6</v>
      </c>
      <c r="I368" s="25" t="n">
        <f aca="false">IFERROR(INDEX(Products!$C$2:$C$13,MATCH(F368,Products!$A$2:$A$13,0)),0)</f>
        <v>45</v>
      </c>
      <c r="J368" s="25" t="n">
        <f aca="false">H368*I368</f>
        <v>270</v>
      </c>
      <c r="K368" s="25" t="n">
        <f aca="false">IFERROR(INDEX(Products!$D$2:$D$13,MATCH(F368,Products!$A$2:$A$13,0)),0)</f>
        <v>18</v>
      </c>
      <c r="L368" s="25" t="n">
        <f aca="false">H368*K368</f>
        <v>108</v>
      </c>
      <c r="M368" s="25" t="n">
        <f aca="false">J368-L368</f>
        <v>162</v>
      </c>
    </row>
    <row r="369" customFormat="false" ht="15" hidden="false" customHeight="false" outlineLevel="0" collapsed="false">
      <c r="A369" s="23" t="s">
        <v>453</v>
      </c>
      <c r="B369" s="24" t="n">
        <v>45917</v>
      </c>
      <c r="C369" s="23" t="n">
        <f aca="false">MONTH(B369)</f>
        <v>9</v>
      </c>
      <c r="D369" s="23" t="s">
        <v>19</v>
      </c>
      <c r="E369" s="23" t="s">
        <v>73</v>
      </c>
      <c r="F369" s="23" t="s">
        <v>88</v>
      </c>
      <c r="G369" s="23" t="str">
        <f aca="false">IFERROR(INDEX(Products!$B$2:$B$13,MATCH(F369,Products!$A$2:$A$13,0)),"Unknown")</f>
        <v>Accessories</v>
      </c>
      <c r="H369" s="23" t="n">
        <v>3</v>
      </c>
      <c r="I369" s="25" t="n">
        <f aca="false">IFERROR(INDEX(Products!$C$2:$C$13,MATCH(F369,Products!$A$2:$A$13,0)),0)</f>
        <v>85</v>
      </c>
      <c r="J369" s="25" t="n">
        <f aca="false">H369*I369</f>
        <v>255</v>
      </c>
      <c r="K369" s="25" t="n">
        <f aca="false">IFERROR(INDEX(Products!$D$2:$D$13,MATCH(F369,Products!$A$2:$A$13,0)),0)</f>
        <v>38</v>
      </c>
      <c r="L369" s="25" t="n">
        <f aca="false">H369*K369</f>
        <v>114</v>
      </c>
      <c r="M369" s="25" t="n">
        <f aca="false">J369-L369</f>
        <v>141</v>
      </c>
    </row>
    <row r="370" customFormat="false" ht="15" hidden="false" customHeight="false" outlineLevel="0" collapsed="false">
      <c r="A370" s="23" t="s">
        <v>454</v>
      </c>
      <c r="B370" s="24" t="n">
        <v>45917</v>
      </c>
      <c r="C370" s="23" t="n">
        <f aca="false">MONTH(B370)</f>
        <v>9</v>
      </c>
      <c r="D370" s="23" t="s">
        <v>23</v>
      </c>
      <c r="E370" s="23" t="s">
        <v>77</v>
      </c>
      <c r="F370" s="23" t="s">
        <v>68</v>
      </c>
      <c r="G370" s="23" t="str">
        <f aca="false">IFERROR(INDEX(Products!$B$2:$B$13,MATCH(F370,Products!$A$2:$A$13,0)),"Unknown")</f>
        <v>Laptops</v>
      </c>
      <c r="H370" s="23" t="n">
        <v>2</v>
      </c>
      <c r="I370" s="25" t="n">
        <f aca="false">IFERROR(INDEX(Products!$C$2:$C$13,MATCH(F370,Products!$A$2:$A$13,0)),0)</f>
        <v>780</v>
      </c>
      <c r="J370" s="25" t="n">
        <f aca="false">H370*I370</f>
        <v>1560</v>
      </c>
      <c r="K370" s="25" t="n">
        <f aca="false">IFERROR(INDEX(Products!$D$2:$D$13,MATCH(F370,Products!$A$2:$A$13,0)),0)</f>
        <v>590</v>
      </c>
      <c r="L370" s="25" t="n">
        <f aca="false">H370*K370</f>
        <v>1180</v>
      </c>
      <c r="M370" s="25" t="n">
        <f aca="false">J370-L370</f>
        <v>380</v>
      </c>
    </row>
    <row r="371" customFormat="false" ht="15" hidden="false" customHeight="false" outlineLevel="0" collapsed="false">
      <c r="A371" s="23" t="s">
        <v>455</v>
      </c>
      <c r="B371" s="24" t="n">
        <v>45917</v>
      </c>
      <c r="C371" s="23" t="n">
        <f aca="false">MONTH(B371)</f>
        <v>9</v>
      </c>
      <c r="D371" s="23" t="s">
        <v>23</v>
      </c>
      <c r="E371" s="23" t="s">
        <v>77</v>
      </c>
      <c r="F371" s="23" t="s">
        <v>71</v>
      </c>
      <c r="G371" s="23" t="str">
        <f aca="false">IFERROR(INDEX(Products!$B$2:$B$13,MATCH(F371,Products!$A$2:$A$13,0)),"Unknown")</f>
        <v>Accessories</v>
      </c>
      <c r="H371" s="23" t="n">
        <v>3</v>
      </c>
      <c r="I371" s="25" t="n">
        <f aca="false">IFERROR(INDEX(Products!$C$2:$C$13,MATCH(F371,Products!$A$2:$A$13,0)),0)</f>
        <v>45</v>
      </c>
      <c r="J371" s="25" t="n">
        <f aca="false">H371*I371</f>
        <v>135</v>
      </c>
      <c r="K371" s="25" t="n">
        <f aca="false">IFERROR(INDEX(Products!$D$2:$D$13,MATCH(F371,Products!$A$2:$A$13,0)),0)</f>
        <v>18</v>
      </c>
      <c r="L371" s="25" t="n">
        <f aca="false">H371*K371</f>
        <v>54</v>
      </c>
      <c r="M371" s="25" t="n">
        <f aca="false">J371-L371</f>
        <v>81</v>
      </c>
    </row>
    <row r="372" customFormat="false" ht="15" hidden="false" customHeight="false" outlineLevel="0" collapsed="false">
      <c r="A372" s="23" t="s">
        <v>456</v>
      </c>
      <c r="B372" s="24" t="n">
        <v>45917</v>
      </c>
      <c r="C372" s="23" t="n">
        <f aca="false">MONTH(B372)</f>
        <v>9</v>
      </c>
      <c r="D372" s="23" t="s">
        <v>19</v>
      </c>
      <c r="E372" s="23" t="s">
        <v>70</v>
      </c>
      <c r="F372" s="23" t="s">
        <v>88</v>
      </c>
      <c r="G372" s="23" t="str">
        <f aca="false">IFERROR(INDEX(Products!$B$2:$B$13,MATCH(F372,Products!$A$2:$A$13,0)),"Unknown")</f>
        <v>Accessories</v>
      </c>
      <c r="H372" s="23" t="n">
        <v>15</v>
      </c>
      <c r="I372" s="25" t="n">
        <f aca="false">IFERROR(INDEX(Products!$C$2:$C$13,MATCH(F372,Products!$A$2:$A$13,0)),0)</f>
        <v>85</v>
      </c>
      <c r="J372" s="25" t="n">
        <f aca="false">H372*I372</f>
        <v>1275</v>
      </c>
      <c r="K372" s="25" t="n">
        <f aca="false">IFERROR(INDEX(Products!$D$2:$D$13,MATCH(F372,Products!$A$2:$A$13,0)),0)</f>
        <v>38</v>
      </c>
      <c r="L372" s="25" t="n">
        <f aca="false">H372*K372</f>
        <v>570</v>
      </c>
      <c r="M372" s="25" t="n">
        <f aca="false">J372-L372</f>
        <v>705</v>
      </c>
    </row>
    <row r="373" customFormat="false" ht="15" hidden="false" customHeight="false" outlineLevel="0" collapsed="false">
      <c r="A373" s="23" t="s">
        <v>457</v>
      </c>
      <c r="B373" s="24" t="n">
        <v>45918</v>
      </c>
      <c r="C373" s="23" t="n">
        <f aca="false">MONTH(B373)</f>
        <v>9</v>
      </c>
      <c r="D373" s="23" t="s">
        <v>17</v>
      </c>
      <c r="E373" s="23" t="s">
        <v>67</v>
      </c>
      <c r="F373" s="23" t="s">
        <v>71</v>
      </c>
      <c r="G373" s="23" t="str">
        <f aca="false">IFERROR(INDEX(Products!$B$2:$B$13,MATCH(F373,Products!$A$2:$A$13,0)),"Unknown")</f>
        <v>Accessories</v>
      </c>
      <c r="H373" s="23" t="n">
        <v>12</v>
      </c>
      <c r="I373" s="25" t="n">
        <f aca="false">IFERROR(INDEX(Products!$C$2:$C$13,MATCH(F373,Products!$A$2:$A$13,0)),0)</f>
        <v>45</v>
      </c>
      <c r="J373" s="25" t="n">
        <f aca="false">H373*I373</f>
        <v>540</v>
      </c>
      <c r="K373" s="25" t="n">
        <f aca="false">IFERROR(INDEX(Products!$D$2:$D$13,MATCH(F373,Products!$A$2:$A$13,0)),0)</f>
        <v>18</v>
      </c>
      <c r="L373" s="25" t="n">
        <f aca="false">H373*K373</f>
        <v>216</v>
      </c>
      <c r="M373" s="25" t="n">
        <f aca="false">J373-L373</f>
        <v>324</v>
      </c>
    </row>
    <row r="374" customFormat="false" ht="15" hidden="false" customHeight="false" outlineLevel="0" collapsed="false">
      <c r="A374" s="23" t="s">
        <v>458</v>
      </c>
      <c r="B374" s="24" t="n">
        <v>45918</v>
      </c>
      <c r="C374" s="23" t="n">
        <f aca="false">MONTH(B374)</f>
        <v>9</v>
      </c>
      <c r="D374" s="23" t="s">
        <v>21</v>
      </c>
      <c r="E374" s="23" t="s">
        <v>87</v>
      </c>
      <c r="F374" s="23" t="s">
        <v>81</v>
      </c>
      <c r="G374" s="23" t="str">
        <f aca="false">IFERROR(INDEX(Products!$B$2:$B$13,MATCH(F374,Products!$A$2:$A$13,0)),"Unknown")</f>
        <v>Laptops</v>
      </c>
      <c r="H374" s="23" t="n">
        <v>5</v>
      </c>
      <c r="I374" s="25" t="n">
        <f aca="false">IFERROR(INDEX(Products!$C$2:$C$13,MATCH(F374,Products!$A$2:$A$13,0)),0)</f>
        <v>950</v>
      </c>
      <c r="J374" s="25" t="n">
        <f aca="false">H374*I374</f>
        <v>4750</v>
      </c>
      <c r="K374" s="25" t="n">
        <f aca="false">IFERROR(INDEX(Products!$D$2:$D$13,MATCH(F374,Products!$A$2:$A$13,0)),0)</f>
        <v>720</v>
      </c>
      <c r="L374" s="25" t="n">
        <f aca="false">H374*K374</f>
        <v>3600</v>
      </c>
      <c r="M374" s="25" t="n">
        <f aca="false">J374-L374</f>
        <v>1150</v>
      </c>
    </row>
    <row r="375" customFormat="false" ht="15" hidden="false" customHeight="false" outlineLevel="0" collapsed="false">
      <c r="A375" s="23" t="s">
        <v>459</v>
      </c>
      <c r="B375" s="24" t="n">
        <v>45919</v>
      </c>
      <c r="C375" s="23" t="n">
        <f aca="false">MONTH(B375)</f>
        <v>9</v>
      </c>
      <c r="D375" s="23" t="s">
        <v>21</v>
      </c>
      <c r="E375" s="23" t="s">
        <v>87</v>
      </c>
      <c r="F375" s="23" t="s">
        <v>71</v>
      </c>
      <c r="G375" s="23" t="str">
        <f aca="false">IFERROR(INDEX(Products!$B$2:$B$13,MATCH(F375,Products!$A$2:$A$13,0)),"Unknown")</f>
        <v>Accessories</v>
      </c>
      <c r="H375" s="23" t="n">
        <v>3</v>
      </c>
      <c r="I375" s="25" t="n">
        <f aca="false">IFERROR(INDEX(Products!$C$2:$C$13,MATCH(F375,Products!$A$2:$A$13,0)),0)</f>
        <v>45</v>
      </c>
      <c r="J375" s="25" t="n">
        <f aca="false">H375*I375</f>
        <v>135</v>
      </c>
      <c r="K375" s="25" t="n">
        <f aca="false">IFERROR(INDEX(Products!$D$2:$D$13,MATCH(F375,Products!$A$2:$A$13,0)),0)</f>
        <v>18</v>
      </c>
      <c r="L375" s="25" t="n">
        <f aca="false">H375*K375</f>
        <v>54</v>
      </c>
      <c r="M375" s="25" t="n">
        <f aca="false">J375-L375</f>
        <v>81</v>
      </c>
    </row>
    <row r="376" customFormat="false" ht="15" hidden="false" customHeight="false" outlineLevel="0" collapsed="false">
      <c r="A376" s="23" t="s">
        <v>460</v>
      </c>
      <c r="B376" s="24" t="n">
        <v>45919</v>
      </c>
      <c r="C376" s="23" t="n">
        <f aca="false">MONTH(B376)</f>
        <v>9</v>
      </c>
      <c r="D376" s="23" t="s">
        <v>17</v>
      </c>
      <c r="E376" s="23" t="s">
        <v>116</v>
      </c>
      <c r="F376" s="23" t="s">
        <v>94</v>
      </c>
      <c r="G376" s="23" t="str">
        <f aca="false">IFERROR(INDEX(Products!$B$2:$B$13,MATCH(F376,Products!$A$2:$A$13,0)),"Unknown")</f>
        <v>Laptops</v>
      </c>
      <c r="H376" s="23" t="n">
        <v>5</v>
      </c>
      <c r="I376" s="25" t="n">
        <f aca="false">IFERROR(INDEX(Products!$C$2:$C$13,MATCH(F376,Products!$A$2:$A$13,0)),0)</f>
        <v>1350</v>
      </c>
      <c r="J376" s="25" t="n">
        <f aca="false">H376*I376</f>
        <v>6750</v>
      </c>
      <c r="K376" s="25" t="n">
        <f aca="false">IFERROR(INDEX(Products!$D$2:$D$13,MATCH(F376,Products!$A$2:$A$13,0)),0)</f>
        <v>1040</v>
      </c>
      <c r="L376" s="25" t="n">
        <f aca="false">H376*K376</f>
        <v>5200</v>
      </c>
      <c r="M376" s="25" t="n">
        <f aca="false">J376-L376</f>
        <v>1550</v>
      </c>
    </row>
    <row r="377" customFormat="false" ht="15" hidden="false" customHeight="false" outlineLevel="0" collapsed="false">
      <c r="A377" s="23" t="s">
        <v>461</v>
      </c>
      <c r="B377" s="24" t="n">
        <v>45920</v>
      </c>
      <c r="C377" s="23" t="n">
        <f aca="false">MONTH(B377)</f>
        <v>9</v>
      </c>
      <c r="D377" s="23" t="s">
        <v>19</v>
      </c>
      <c r="E377" s="23" t="s">
        <v>73</v>
      </c>
      <c r="F377" s="23" t="s">
        <v>104</v>
      </c>
      <c r="G377" s="23" t="str">
        <f aca="false">IFERROR(INDEX(Products!$B$2:$B$13,MATCH(F377,Products!$A$2:$A$13,0)),"Unknown")</f>
        <v>Phones</v>
      </c>
      <c r="H377" s="23" t="n">
        <v>3</v>
      </c>
      <c r="I377" s="25" t="n">
        <f aca="false">IFERROR(INDEX(Products!$C$2:$C$13,MATCH(F377,Products!$A$2:$A$13,0)),0)</f>
        <v>290</v>
      </c>
      <c r="J377" s="25" t="n">
        <f aca="false">H377*I377</f>
        <v>870</v>
      </c>
      <c r="K377" s="25" t="n">
        <f aca="false">IFERROR(INDEX(Products!$D$2:$D$13,MATCH(F377,Products!$A$2:$A$13,0)),0)</f>
        <v>205</v>
      </c>
      <c r="L377" s="25" t="n">
        <f aca="false">H377*K377</f>
        <v>615</v>
      </c>
      <c r="M377" s="25" t="n">
        <f aca="false">J377-L377</f>
        <v>255</v>
      </c>
    </row>
    <row r="378" customFormat="false" ht="15" hidden="false" customHeight="false" outlineLevel="0" collapsed="false">
      <c r="A378" s="23" t="s">
        <v>462</v>
      </c>
      <c r="B378" s="24" t="n">
        <v>45921</v>
      </c>
      <c r="C378" s="23" t="n">
        <f aca="false">MONTH(B378)</f>
        <v>9</v>
      </c>
      <c r="D378" s="23" t="s">
        <v>21</v>
      </c>
      <c r="E378" s="23" t="s">
        <v>90</v>
      </c>
      <c r="F378" s="23" t="s">
        <v>68</v>
      </c>
      <c r="G378" s="23" t="str">
        <f aca="false">IFERROR(INDEX(Products!$B$2:$B$13,MATCH(F378,Products!$A$2:$A$13,0)),"Unknown")</f>
        <v>Laptops</v>
      </c>
      <c r="H378" s="23" t="n">
        <v>2</v>
      </c>
      <c r="I378" s="25" t="n">
        <f aca="false">IFERROR(INDEX(Products!$C$2:$C$13,MATCH(F378,Products!$A$2:$A$13,0)),0)</f>
        <v>780</v>
      </c>
      <c r="J378" s="25" t="n">
        <f aca="false">H378*I378</f>
        <v>1560</v>
      </c>
      <c r="K378" s="25" t="n">
        <f aca="false">IFERROR(INDEX(Products!$D$2:$D$13,MATCH(F378,Products!$A$2:$A$13,0)),0)</f>
        <v>590</v>
      </c>
      <c r="L378" s="25" t="n">
        <f aca="false">H378*K378</f>
        <v>1180</v>
      </c>
      <c r="M378" s="25" t="n">
        <f aca="false">J378-L378</f>
        <v>380</v>
      </c>
    </row>
    <row r="379" customFormat="false" ht="15" hidden="false" customHeight="false" outlineLevel="0" collapsed="false">
      <c r="A379" s="23" t="s">
        <v>463</v>
      </c>
      <c r="B379" s="24" t="n">
        <v>45921</v>
      </c>
      <c r="C379" s="23" t="n">
        <f aca="false">MONTH(B379)</f>
        <v>9</v>
      </c>
      <c r="D379" s="23" t="s">
        <v>21</v>
      </c>
      <c r="E379" s="23" t="s">
        <v>87</v>
      </c>
      <c r="F379" s="23" t="s">
        <v>88</v>
      </c>
      <c r="G379" s="23" t="str">
        <f aca="false">IFERROR(INDEX(Products!$B$2:$B$13,MATCH(F379,Products!$A$2:$A$13,0)),"Unknown")</f>
        <v>Accessories</v>
      </c>
      <c r="H379" s="23" t="n">
        <v>6</v>
      </c>
      <c r="I379" s="25" t="n">
        <f aca="false">IFERROR(INDEX(Products!$C$2:$C$13,MATCH(F379,Products!$A$2:$A$13,0)),0)</f>
        <v>85</v>
      </c>
      <c r="J379" s="25" t="n">
        <f aca="false">H379*I379</f>
        <v>510</v>
      </c>
      <c r="K379" s="25" t="n">
        <f aca="false">IFERROR(INDEX(Products!$D$2:$D$13,MATCH(F379,Products!$A$2:$A$13,0)),0)</f>
        <v>38</v>
      </c>
      <c r="L379" s="25" t="n">
        <f aca="false">H379*K379</f>
        <v>228</v>
      </c>
      <c r="M379" s="25" t="n">
        <f aca="false">J379-L379</f>
        <v>282</v>
      </c>
    </row>
    <row r="380" customFormat="false" ht="15" hidden="false" customHeight="false" outlineLevel="0" collapsed="false">
      <c r="A380" s="23" t="s">
        <v>464</v>
      </c>
      <c r="B380" s="24" t="n">
        <v>45922</v>
      </c>
      <c r="C380" s="23" t="n">
        <f aca="false">MONTH(B380)</f>
        <v>9</v>
      </c>
      <c r="D380" s="23" t="s">
        <v>21</v>
      </c>
      <c r="E380" s="23" t="s">
        <v>90</v>
      </c>
      <c r="F380" s="23" t="s">
        <v>71</v>
      </c>
      <c r="G380" s="23" t="str">
        <f aca="false">IFERROR(INDEX(Products!$B$2:$B$13,MATCH(F380,Products!$A$2:$A$13,0)),"Unknown")</f>
        <v>Accessories</v>
      </c>
      <c r="H380" s="23" t="n">
        <v>3</v>
      </c>
      <c r="I380" s="25" t="n">
        <f aca="false">IFERROR(INDEX(Products!$C$2:$C$13,MATCH(F380,Products!$A$2:$A$13,0)),0)</f>
        <v>45</v>
      </c>
      <c r="J380" s="25" t="n">
        <f aca="false">H380*I380</f>
        <v>135</v>
      </c>
      <c r="K380" s="25" t="n">
        <f aca="false">IFERROR(INDEX(Products!$D$2:$D$13,MATCH(F380,Products!$A$2:$A$13,0)),0)</f>
        <v>18</v>
      </c>
      <c r="L380" s="25" t="n">
        <f aca="false">H380*K380</f>
        <v>54</v>
      </c>
      <c r="M380" s="25" t="n">
        <f aca="false">J380-L380</f>
        <v>81</v>
      </c>
    </row>
    <row r="381" customFormat="false" ht="15" hidden="false" customHeight="false" outlineLevel="0" collapsed="false">
      <c r="A381" s="23" t="s">
        <v>465</v>
      </c>
      <c r="B381" s="24" t="n">
        <v>45922</v>
      </c>
      <c r="C381" s="23" t="n">
        <f aca="false">MONTH(B381)</f>
        <v>9</v>
      </c>
      <c r="D381" s="23" t="s">
        <v>21</v>
      </c>
      <c r="E381" s="23" t="s">
        <v>90</v>
      </c>
      <c r="F381" s="23" t="s">
        <v>88</v>
      </c>
      <c r="G381" s="23" t="str">
        <f aca="false">IFERROR(INDEX(Products!$B$2:$B$13,MATCH(F381,Products!$A$2:$A$13,0)),"Unknown")</f>
        <v>Accessories</v>
      </c>
      <c r="H381" s="23" t="n">
        <v>6</v>
      </c>
      <c r="I381" s="25" t="n">
        <f aca="false">IFERROR(INDEX(Products!$C$2:$C$13,MATCH(F381,Products!$A$2:$A$13,0)),0)</f>
        <v>85</v>
      </c>
      <c r="J381" s="25" t="n">
        <f aca="false">H381*I381</f>
        <v>510</v>
      </c>
      <c r="K381" s="25" t="n">
        <f aca="false">IFERROR(INDEX(Products!$D$2:$D$13,MATCH(F381,Products!$A$2:$A$13,0)),0)</f>
        <v>38</v>
      </c>
      <c r="L381" s="25" t="n">
        <f aca="false">H381*K381</f>
        <v>228</v>
      </c>
      <c r="M381" s="25" t="n">
        <f aca="false">J381-L381</f>
        <v>282</v>
      </c>
    </row>
    <row r="382" customFormat="false" ht="15" hidden="false" customHeight="false" outlineLevel="0" collapsed="false">
      <c r="A382" s="23" t="s">
        <v>466</v>
      </c>
      <c r="B382" s="24" t="n">
        <v>45925</v>
      </c>
      <c r="C382" s="23" t="n">
        <f aca="false">MONTH(B382)</f>
        <v>9</v>
      </c>
      <c r="D382" s="23" t="s">
        <v>23</v>
      </c>
      <c r="E382" s="23" t="s">
        <v>77</v>
      </c>
      <c r="F382" s="23" t="s">
        <v>71</v>
      </c>
      <c r="G382" s="23" t="str">
        <f aca="false">IFERROR(INDEX(Products!$B$2:$B$13,MATCH(F382,Products!$A$2:$A$13,0)),"Unknown")</f>
        <v>Accessories</v>
      </c>
      <c r="H382" s="23" t="n">
        <v>3</v>
      </c>
      <c r="I382" s="25" t="n">
        <f aca="false">IFERROR(INDEX(Products!$C$2:$C$13,MATCH(F382,Products!$A$2:$A$13,0)),0)</f>
        <v>45</v>
      </c>
      <c r="J382" s="25" t="n">
        <f aca="false">H382*I382</f>
        <v>135</v>
      </c>
      <c r="K382" s="25" t="n">
        <f aca="false">IFERROR(INDEX(Products!$D$2:$D$13,MATCH(F382,Products!$A$2:$A$13,0)),0)</f>
        <v>18</v>
      </c>
      <c r="L382" s="25" t="n">
        <f aca="false">H382*K382</f>
        <v>54</v>
      </c>
      <c r="M382" s="25" t="n">
        <f aca="false">J382-L382</f>
        <v>81</v>
      </c>
    </row>
    <row r="383" customFormat="false" ht="15" hidden="false" customHeight="false" outlineLevel="0" collapsed="false">
      <c r="A383" s="23" t="s">
        <v>467</v>
      </c>
      <c r="B383" s="24" t="n">
        <v>45925</v>
      </c>
      <c r="C383" s="23" t="n">
        <f aca="false">MONTH(B383)</f>
        <v>9</v>
      </c>
      <c r="D383" s="23" t="s">
        <v>23</v>
      </c>
      <c r="E383" s="23" t="s">
        <v>85</v>
      </c>
      <c r="F383" s="23" t="s">
        <v>88</v>
      </c>
      <c r="G383" s="23" t="str">
        <f aca="false">IFERROR(INDEX(Products!$B$2:$B$13,MATCH(F383,Products!$A$2:$A$13,0)),"Unknown")</f>
        <v>Accessories</v>
      </c>
      <c r="H383" s="23" t="n">
        <v>3</v>
      </c>
      <c r="I383" s="25" t="n">
        <f aca="false">IFERROR(INDEX(Products!$C$2:$C$13,MATCH(F383,Products!$A$2:$A$13,0)),0)</f>
        <v>85</v>
      </c>
      <c r="J383" s="25" t="n">
        <f aca="false">H383*I383</f>
        <v>255</v>
      </c>
      <c r="K383" s="25" t="n">
        <f aca="false">IFERROR(INDEX(Products!$D$2:$D$13,MATCH(F383,Products!$A$2:$A$13,0)),0)</f>
        <v>38</v>
      </c>
      <c r="L383" s="25" t="n">
        <f aca="false">H383*K383</f>
        <v>114</v>
      </c>
      <c r="M383" s="25" t="n">
        <f aca="false">J383-L383</f>
        <v>141</v>
      </c>
    </row>
    <row r="384" customFormat="false" ht="15" hidden="false" customHeight="false" outlineLevel="0" collapsed="false">
      <c r="A384" s="23" t="s">
        <v>468</v>
      </c>
      <c r="B384" s="24" t="n">
        <v>45925</v>
      </c>
      <c r="C384" s="23" t="n">
        <f aca="false">MONTH(B384)</f>
        <v>9</v>
      </c>
      <c r="D384" s="23" t="s">
        <v>19</v>
      </c>
      <c r="E384" s="23" t="s">
        <v>70</v>
      </c>
      <c r="F384" s="23" t="s">
        <v>96</v>
      </c>
      <c r="G384" s="23" t="str">
        <f aca="false">IFERROR(INDEX(Products!$B$2:$B$13,MATCH(F384,Products!$A$2:$A$13,0)),"Unknown")</f>
        <v>Tablets</v>
      </c>
      <c r="H384" s="23" t="n">
        <v>5</v>
      </c>
      <c r="I384" s="25" t="n">
        <f aca="false">IFERROR(INDEX(Products!$C$2:$C$13,MATCH(F384,Products!$A$2:$A$13,0)),0)</f>
        <v>260</v>
      </c>
      <c r="J384" s="25" t="n">
        <f aca="false">H384*I384</f>
        <v>1300</v>
      </c>
      <c r="K384" s="25" t="n">
        <f aca="false">IFERROR(INDEX(Products!$D$2:$D$13,MATCH(F384,Products!$A$2:$A$13,0)),0)</f>
        <v>180</v>
      </c>
      <c r="L384" s="25" t="n">
        <f aca="false">H384*K384</f>
        <v>900</v>
      </c>
      <c r="M384" s="25" t="n">
        <f aca="false">J384-L384</f>
        <v>400</v>
      </c>
    </row>
    <row r="385" customFormat="false" ht="15" hidden="false" customHeight="false" outlineLevel="0" collapsed="false">
      <c r="A385" s="23" t="s">
        <v>469</v>
      </c>
      <c r="B385" s="24" t="n">
        <v>45926</v>
      </c>
      <c r="C385" s="23" t="n">
        <f aca="false">MONTH(B385)</f>
        <v>9</v>
      </c>
      <c r="D385" s="23" t="s">
        <v>21</v>
      </c>
      <c r="E385" s="23" t="s">
        <v>87</v>
      </c>
      <c r="F385" s="23" t="s">
        <v>88</v>
      </c>
      <c r="G385" s="23" t="str">
        <f aca="false">IFERROR(INDEX(Products!$B$2:$B$13,MATCH(F385,Products!$A$2:$A$13,0)),"Unknown")</f>
        <v>Accessories</v>
      </c>
      <c r="H385" s="23" t="n">
        <v>3</v>
      </c>
      <c r="I385" s="25" t="n">
        <f aca="false">IFERROR(INDEX(Products!$C$2:$C$13,MATCH(F385,Products!$A$2:$A$13,0)),0)</f>
        <v>85</v>
      </c>
      <c r="J385" s="25" t="n">
        <f aca="false">H385*I385</f>
        <v>255</v>
      </c>
      <c r="K385" s="25" t="n">
        <f aca="false">IFERROR(INDEX(Products!$D$2:$D$13,MATCH(F385,Products!$A$2:$A$13,0)),0)</f>
        <v>38</v>
      </c>
      <c r="L385" s="25" t="n">
        <f aca="false">H385*K385</f>
        <v>114</v>
      </c>
      <c r="M385" s="25" t="n">
        <f aca="false">J385-L385</f>
        <v>141</v>
      </c>
    </row>
    <row r="386" customFormat="false" ht="15" hidden="false" customHeight="false" outlineLevel="0" collapsed="false">
      <c r="A386" s="23" t="s">
        <v>470</v>
      </c>
      <c r="B386" s="24" t="n">
        <v>45926</v>
      </c>
      <c r="C386" s="23" t="n">
        <f aca="false">MONTH(B386)</f>
        <v>9</v>
      </c>
      <c r="D386" s="23" t="s">
        <v>19</v>
      </c>
      <c r="E386" s="23" t="s">
        <v>73</v>
      </c>
      <c r="F386" s="23" t="s">
        <v>88</v>
      </c>
      <c r="G386" s="23" t="str">
        <f aca="false">IFERROR(INDEX(Products!$B$2:$B$13,MATCH(F386,Products!$A$2:$A$13,0)),"Unknown")</f>
        <v>Accessories</v>
      </c>
      <c r="H386" s="23" t="n">
        <v>3</v>
      </c>
      <c r="I386" s="25" t="n">
        <f aca="false">IFERROR(INDEX(Products!$C$2:$C$13,MATCH(F386,Products!$A$2:$A$13,0)),0)</f>
        <v>85</v>
      </c>
      <c r="J386" s="25" t="n">
        <f aca="false">H386*I386</f>
        <v>255</v>
      </c>
      <c r="K386" s="25" t="n">
        <f aca="false">IFERROR(INDEX(Products!$D$2:$D$13,MATCH(F386,Products!$A$2:$A$13,0)),0)</f>
        <v>38</v>
      </c>
      <c r="L386" s="25" t="n">
        <f aca="false">H386*K386</f>
        <v>114</v>
      </c>
      <c r="M386" s="25" t="n">
        <f aca="false">J386-L386</f>
        <v>141</v>
      </c>
    </row>
    <row r="387" customFormat="false" ht="15" hidden="false" customHeight="false" outlineLevel="0" collapsed="false">
      <c r="A387" s="23" t="s">
        <v>471</v>
      </c>
      <c r="B387" s="24" t="n">
        <v>45927</v>
      </c>
      <c r="C387" s="23" t="n">
        <f aca="false">MONTH(B387)</f>
        <v>9</v>
      </c>
      <c r="D387" s="23" t="s">
        <v>19</v>
      </c>
      <c r="E387" s="23" t="s">
        <v>70</v>
      </c>
      <c r="F387" s="23" t="s">
        <v>79</v>
      </c>
      <c r="G387" s="23" t="str">
        <f aca="false">IFERROR(INDEX(Products!$B$2:$B$13,MATCH(F387,Products!$A$2:$A$13,0)),"Unknown")</f>
        <v>Accessories</v>
      </c>
      <c r="H387" s="23" t="n">
        <v>3</v>
      </c>
      <c r="I387" s="25" t="n">
        <f aca="false">IFERROR(INDEX(Products!$C$2:$C$13,MATCH(F387,Products!$A$2:$A$13,0)),0)</f>
        <v>190</v>
      </c>
      <c r="J387" s="25" t="n">
        <f aca="false">H387*I387</f>
        <v>570</v>
      </c>
      <c r="K387" s="25" t="n">
        <f aca="false">IFERROR(INDEX(Products!$D$2:$D$13,MATCH(F387,Products!$A$2:$A$13,0)),0)</f>
        <v>115</v>
      </c>
      <c r="L387" s="25" t="n">
        <f aca="false">H387*K387</f>
        <v>345</v>
      </c>
      <c r="M387" s="25" t="n">
        <f aca="false">J387-L387</f>
        <v>225</v>
      </c>
    </row>
    <row r="388" customFormat="false" ht="15" hidden="false" customHeight="false" outlineLevel="0" collapsed="false">
      <c r="A388" s="23" t="s">
        <v>472</v>
      </c>
      <c r="B388" s="24" t="n">
        <v>45927</v>
      </c>
      <c r="C388" s="23" t="n">
        <f aca="false">MONTH(B388)</f>
        <v>9</v>
      </c>
      <c r="D388" s="23" t="s">
        <v>17</v>
      </c>
      <c r="E388" s="23" t="s">
        <v>116</v>
      </c>
      <c r="F388" s="23" t="s">
        <v>68</v>
      </c>
      <c r="G388" s="23" t="str">
        <f aca="false">IFERROR(INDEX(Products!$B$2:$B$13,MATCH(F388,Products!$A$2:$A$13,0)),"Unknown")</f>
        <v>Laptops</v>
      </c>
      <c r="H388" s="23" t="n">
        <v>1</v>
      </c>
      <c r="I388" s="25" t="n">
        <f aca="false">IFERROR(INDEX(Products!$C$2:$C$13,MATCH(F388,Products!$A$2:$A$13,0)),0)</f>
        <v>780</v>
      </c>
      <c r="J388" s="25" t="n">
        <f aca="false">H388*I388</f>
        <v>780</v>
      </c>
      <c r="K388" s="25" t="n">
        <f aca="false">IFERROR(INDEX(Products!$D$2:$D$13,MATCH(F388,Products!$A$2:$A$13,0)),0)</f>
        <v>590</v>
      </c>
      <c r="L388" s="25" t="n">
        <f aca="false">H388*K388</f>
        <v>590</v>
      </c>
      <c r="M388" s="25" t="n">
        <f aca="false">J388-L388</f>
        <v>190</v>
      </c>
    </row>
    <row r="389" customFormat="false" ht="15" hidden="false" customHeight="false" outlineLevel="0" collapsed="false">
      <c r="A389" s="23" t="s">
        <v>473</v>
      </c>
      <c r="B389" s="24" t="n">
        <v>45931</v>
      </c>
      <c r="C389" s="23" t="n">
        <f aca="false">MONTH(B389)</f>
        <v>10</v>
      </c>
      <c r="D389" s="23" t="s">
        <v>21</v>
      </c>
      <c r="E389" s="23" t="s">
        <v>87</v>
      </c>
      <c r="F389" s="23" t="s">
        <v>88</v>
      </c>
      <c r="G389" s="23" t="str">
        <f aca="false">IFERROR(INDEX(Products!$B$2:$B$13,MATCH(F389,Products!$A$2:$A$13,0)),"Unknown")</f>
        <v>Accessories</v>
      </c>
      <c r="H389" s="23" t="n">
        <v>3</v>
      </c>
      <c r="I389" s="25" t="n">
        <f aca="false">IFERROR(INDEX(Products!$C$2:$C$13,MATCH(F389,Products!$A$2:$A$13,0)),0)</f>
        <v>85</v>
      </c>
      <c r="J389" s="25" t="n">
        <f aca="false">H389*I389</f>
        <v>255</v>
      </c>
      <c r="K389" s="25" t="n">
        <f aca="false">IFERROR(INDEX(Products!$D$2:$D$13,MATCH(F389,Products!$A$2:$A$13,0)),0)</f>
        <v>38</v>
      </c>
      <c r="L389" s="25" t="n">
        <f aca="false">H389*K389</f>
        <v>114</v>
      </c>
      <c r="M389" s="25" t="n">
        <f aca="false">J389-L389</f>
        <v>141</v>
      </c>
    </row>
    <row r="390" customFormat="false" ht="15" hidden="false" customHeight="false" outlineLevel="0" collapsed="false">
      <c r="A390" s="23" t="s">
        <v>474</v>
      </c>
      <c r="B390" s="24" t="n">
        <v>45932</v>
      </c>
      <c r="C390" s="23" t="n">
        <f aca="false">MONTH(B390)</f>
        <v>10</v>
      </c>
      <c r="D390" s="23" t="s">
        <v>17</v>
      </c>
      <c r="E390" s="23" t="s">
        <v>67</v>
      </c>
      <c r="F390" s="23" t="s">
        <v>91</v>
      </c>
      <c r="G390" s="23" t="str">
        <f aca="false">IFERROR(INDEX(Products!$B$2:$B$13,MATCH(F390,Products!$A$2:$A$13,0)),"Unknown")</f>
        <v>Tablets</v>
      </c>
      <c r="H390" s="23" t="n">
        <v>5</v>
      </c>
      <c r="I390" s="25" t="n">
        <f aca="false">IFERROR(INDEX(Products!$C$2:$C$13,MATCH(F390,Products!$A$2:$A$13,0)),0)</f>
        <v>420</v>
      </c>
      <c r="J390" s="25" t="n">
        <f aca="false">H390*I390</f>
        <v>2100</v>
      </c>
      <c r="K390" s="25" t="n">
        <f aca="false">IFERROR(INDEX(Products!$D$2:$D$13,MATCH(F390,Products!$A$2:$A$13,0)),0)</f>
        <v>300</v>
      </c>
      <c r="L390" s="25" t="n">
        <f aca="false">H390*K390</f>
        <v>1500</v>
      </c>
      <c r="M390" s="25" t="n">
        <f aca="false">J390-L390</f>
        <v>600</v>
      </c>
    </row>
    <row r="391" customFormat="false" ht="15" hidden="false" customHeight="false" outlineLevel="0" collapsed="false">
      <c r="A391" s="23" t="s">
        <v>475</v>
      </c>
      <c r="B391" s="24" t="n">
        <v>45932</v>
      </c>
      <c r="C391" s="23" t="n">
        <f aca="false">MONTH(B391)</f>
        <v>10</v>
      </c>
      <c r="D391" s="23" t="s">
        <v>23</v>
      </c>
      <c r="E391" s="23" t="s">
        <v>77</v>
      </c>
      <c r="F391" s="23" t="s">
        <v>88</v>
      </c>
      <c r="G391" s="23" t="str">
        <f aca="false">IFERROR(INDEX(Products!$B$2:$B$13,MATCH(F391,Products!$A$2:$A$13,0)),"Unknown")</f>
        <v>Accessories</v>
      </c>
      <c r="H391" s="23" t="n">
        <v>3</v>
      </c>
      <c r="I391" s="25" t="n">
        <f aca="false">IFERROR(INDEX(Products!$C$2:$C$13,MATCH(F391,Products!$A$2:$A$13,0)),0)</f>
        <v>85</v>
      </c>
      <c r="J391" s="25" t="n">
        <f aca="false">H391*I391</f>
        <v>255</v>
      </c>
      <c r="K391" s="25" t="n">
        <f aca="false">IFERROR(INDEX(Products!$D$2:$D$13,MATCH(F391,Products!$A$2:$A$13,0)),0)</f>
        <v>38</v>
      </c>
      <c r="L391" s="25" t="n">
        <f aca="false">H391*K391</f>
        <v>114</v>
      </c>
      <c r="M391" s="25" t="n">
        <f aca="false">J391-L391</f>
        <v>141</v>
      </c>
    </row>
    <row r="392" customFormat="false" ht="15" hidden="false" customHeight="false" outlineLevel="0" collapsed="false">
      <c r="A392" s="23" t="s">
        <v>476</v>
      </c>
      <c r="B392" s="24" t="n">
        <v>45934</v>
      </c>
      <c r="C392" s="23" t="n">
        <f aca="false">MONTH(B392)</f>
        <v>10</v>
      </c>
      <c r="D392" s="23" t="s">
        <v>23</v>
      </c>
      <c r="E392" s="23" t="s">
        <v>85</v>
      </c>
      <c r="F392" s="23" t="s">
        <v>71</v>
      </c>
      <c r="G392" s="23" t="str">
        <f aca="false">IFERROR(INDEX(Products!$B$2:$B$13,MATCH(F392,Products!$A$2:$A$13,0)),"Unknown")</f>
        <v>Accessories</v>
      </c>
      <c r="H392" s="23" t="n">
        <v>12</v>
      </c>
      <c r="I392" s="25" t="n">
        <f aca="false">IFERROR(INDEX(Products!$C$2:$C$13,MATCH(F392,Products!$A$2:$A$13,0)),0)</f>
        <v>45</v>
      </c>
      <c r="J392" s="25" t="n">
        <f aca="false">H392*I392</f>
        <v>540</v>
      </c>
      <c r="K392" s="25" t="n">
        <f aca="false">IFERROR(INDEX(Products!$D$2:$D$13,MATCH(F392,Products!$A$2:$A$13,0)),0)</f>
        <v>18</v>
      </c>
      <c r="L392" s="25" t="n">
        <f aca="false">H392*K392</f>
        <v>216</v>
      </c>
      <c r="M392" s="25" t="n">
        <f aca="false">J392-L392</f>
        <v>324</v>
      </c>
    </row>
    <row r="393" customFormat="false" ht="15" hidden="false" customHeight="false" outlineLevel="0" collapsed="false">
      <c r="A393" s="23" t="s">
        <v>477</v>
      </c>
      <c r="B393" s="24" t="n">
        <v>45934</v>
      </c>
      <c r="C393" s="23" t="n">
        <f aca="false">MONTH(B393)</f>
        <v>10</v>
      </c>
      <c r="D393" s="23" t="s">
        <v>19</v>
      </c>
      <c r="E393" s="23" t="s">
        <v>73</v>
      </c>
      <c r="F393" s="23" t="s">
        <v>83</v>
      </c>
      <c r="G393" s="23" t="str">
        <f aca="false">IFERROR(INDEX(Products!$B$2:$B$13,MATCH(F393,Products!$A$2:$A$13,0)),"Unknown")</f>
        <v>Phones</v>
      </c>
      <c r="H393" s="23" t="n">
        <v>2</v>
      </c>
      <c r="I393" s="25" t="n">
        <f aca="false">IFERROR(INDEX(Products!$C$2:$C$13,MATCH(F393,Products!$A$2:$A$13,0)),0)</f>
        <v>640</v>
      </c>
      <c r="J393" s="25" t="n">
        <f aca="false">H393*I393</f>
        <v>1280</v>
      </c>
      <c r="K393" s="25" t="n">
        <f aca="false">IFERROR(INDEX(Products!$D$2:$D$13,MATCH(F393,Products!$A$2:$A$13,0)),0)</f>
        <v>470</v>
      </c>
      <c r="L393" s="25" t="n">
        <f aca="false">H393*K393</f>
        <v>940</v>
      </c>
      <c r="M393" s="25" t="n">
        <f aca="false">J393-L393</f>
        <v>340</v>
      </c>
    </row>
    <row r="394" customFormat="false" ht="15" hidden="false" customHeight="false" outlineLevel="0" collapsed="false">
      <c r="A394" s="23" t="s">
        <v>478</v>
      </c>
      <c r="B394" s="24" t="n">
        <v>45934</v>
      </c>
      <c r="C394" s="23" t="n">
        <f aca="false">MONTH(B394)</f>
        <v>10</v>
      </c>
      <c r="D394" s="23" t="s">
        <v>19</v>
      </c>
      <c r="E394" s="23" t="s">
        <v>73</v>
      </c>
      <c r="F394" s="23" t="s">
        <v>98</v>
      </c>
      <c r="G394" s="23" t="str">
        <f aca="false">IFERROR(INDEX(Products!$B$2:$B$13,MATCH(F394,Products!$A$2:$A$13,0)),"Unknown")</f>
        <v>Monitors</v>
      </c>
      <c r="H394" s="23" t="n">
        <v>4</v>
      </c>
      <c r="I394" s="25" t="n">
        <f aca="false">IFERROR(INDEX(Products!$C$2:$C$13,MATCH(F394,Products!$A$2:$A$13,0)),0)</f>
        <v>480</v>
      </c>
      <c r="J394" s="25" t="n">
        <f aca="false">H394*I394</f>
        <v>1920</v>
      </c>
      <c r="K394" s="25" t="n">
        <f aca="false">IFERROR(INDEX(Products!$D$2:$D$13,MATCH(F394,Products!$A$2:$A$13,0)),0)</f>
        <v>350</v>
      </c>
      <c r="L394" s="25" t="n">
        <f aca="false">H394*K394</f>
        <v>1400</v>
      </c>
      <c r="M394" s="25" t="n">
        <f aca="false">J394-L394</f>
        <v>520</v>
      </c>
    </row>
    <row r="395" customFormat="false" ht="15" hidden="false" customHeight="false" outlineLevel="0" collapsed="false">
      <c r="A395" s="23" t="s">
        <v>479</v>
      </c>
      <c r="B395" s="24" t="n">
        <v>45935</v>
      </c>
      <c r="C395" s="23" t="n">
        <f aca="false">MONTH(B395)</f>
        <v>10</v>
      </c>
      <c r="D395" s="23" t="s">
        <v>23</v>
      </c>
      <c r="E395" s="23" t="s">
        <v>85</v>
      </c>
      <c r="F395" s="23" t="s">
        <v>68</v>
      </c>
      <c r="G395" s="23" t="str">
        <f aca="false">IFERROR(INDEX(Products!$B$2:$B$13,MATCH(F395,Products!$A$2:$A$13,0)),"Unknown")</f>
        <v>Laptops</v>
      </c>
      <c r="H395" s="23" t="n">
        <v>3</v>
      </c>
      <c r="I395" s="25" t="n">
        <f aca="false">IFERROR(INDEX(Products!$C$2:$C$13,MATCH(F395,Products!$A$2:$A$13,0)),0)</f>
        <v>780</v>
      </c>
      <c r="J395" s="25" t="n">
        <f aca="false">H395*I395</f>
        <v>2340</v>
      </c>
      <c r="K395" s="25" t="n">
        <f aca="false">IFERROR(INDEX(Products!$D$2:$D$13,MATCH(F395,Products!$A$2:$A$13,0)),0)</f>
        <v>590</v>
      </c>
      <c r="L395" s="25" t="n">
        <f aca="false">H395*K395</f>
        <v>1770</v>
      </c>
      <c r="M395" s="25" t="n">
        <f aca="false">J395-L395</f>
        <v>570</v>
      </c>
    </row>
    <row r="396" customFormat="false" ht="15" hidden="false" customHeight="false" outlineLevel="0" collapsed="false">
      <c r="A396" s="23" t="s">
        <v>480</v>
      </c>
      <c r="B396" s="24" t="n">
        <v>45936</v>
      </c>
      <c r="C396" s="23" t="n">
        <f aca="false">MONTH(B396)</f>
        <v>10</v>
      </c>
      <c r="D396" s="23" t="s">
        <v>23</v>
      </c>
      <c r="E396" s="23" t="s">
        <v>77</v>
      </c>
      <c r="F396" s="23" t="s">
        <v>88</v>
      </c>
      <c r="G396" s="23" t="str">
        <f aca="false">IFERROR(INDEX(Products!$B$2:$B$13,MATCH(F396,Products!$A$2:$A$13,0)),"Unknown")</f>
        <v>Accessories</v>
      </c>
      <c r="H396" s="23" t="n">
        <v>3</v>
      </c>
      <c r="I396" s="25" t="n">
        <f aca="false">IFERROR(INDEX(Products!$C$2:$C$13,MATCH(F396,Products!$A$2:$A$13,0)),0)</f>
        <v>85</v>
      </c>
      <c r="J396" s="25" t="n">
        <f aca="false">H396*I396</f>
        <v>255</v>
      </c>
      <c r="K396" s="25" t="n">
        <f aca="false">IFERROR(INDEX(Products!$D$2:$D$13,MATCH(F396,Products!$A$2:$A$13,0)),0)</f>
        <v>38</v>
      </c>
      <c r="L396" s="25" t="n">
        <f aca="false">H396*K396</f>
        <v>114</v>
      </c>
      <c r="M396" s="25" t="n">
        <f aca="false">J396-L396</f>
        <v>141</v>
      </c>
    </row>
    <row r="397" customFormat="false" ht="15" hidden="false" customHeight="false" outlineLevel="0" collapsed="false">
      <c r="A397" s="23" t="s">
        <v>481</v>
      </c>
      <c r="B397" s="24" t="n">
        <v>45936</v>
      </c>
      <c r="C397" s="23" t="n">
        <f aca="false">MONTH(B397)</f>
        <v>10</v>
      </c>
      <c r="D397" s="23" t="s">
        <v>21</v>
      </c>
      <c r="E397" s="23" t="s">
        <v>90</v>
      </c>
      <c r="F397" s="23" t="s">
        <v>71</v>
      </c>
      <c r="G397" s="23" t="str">
        <f aca="false">IFERROR(INDEX(Products!$B$2:$B$13,MATCH(F397,Products!$A$2:$A$13,0)),"Unknown")</f>
        <v>Accessories</v>
      </c>
      <c r="H397" s="23" t="n">
        <v>15</v>
      </c>
      <c r="I397" s="25" t="n">
        <f aca="false">IFERROR(INDEX(Products!$C$2:$C$13,MATCH(F397,Products!$A$2:$A$13,0)),0)</f>
        <v>45</v>
      </c>
      <c r="J397" s="25" t="n">
        <f aca="false">H397*I397</f>
        <v>675</v>
      </c>
      <c r="K397" s="25" t="n">
        <f aca="false">IFERROR(INDEX(Products!$D$2:$D$13,MATCH(F397,Products!$A$2:$A$13,0)),0)</f>
        <v>18</v>
      </c>
      <c r="L397" s="25" t="n">
        <f aca="false">H397*K397</f>
        <v>270</v>
      </c>
      <c r="M397" s="25" t="n">
        <f aca="false">J397-L397</f>
        <v>405</v>
      </c>
    </row>
    <row r="398" customFormat="false" ht="15" hidden="false" customHeight="false" outlineLevel="0" collapsed="false">
      <c r="A398" s="23" t="s">
        <v>482</v>
      </c>
      <c r="B398" s="24" t="n">
        <v>45937</v>
      </c>
      <c r="C398" s="23" t="n">
        <f aca="false">MONTH(B398)</f>
        <v>10</v>
      </c>
      <c r="D398" s="23" t="s">
        <v>21</v>
      </c>
      <c r="E398" s="23" t="s">
        <v>90</v>
      </c>
      <c r="F398" s="23" t="s">
        <v>74</v>
      </c>
      <c r="G398" s="23" t="str">
        <f aca="false">IFERROR(INDEX(Products!$B$2:$B$13,MATCH(F398,Products!$A$2:$A$13,0)),"Unknown")</f>
        <v>Monitors</v>
      </c>
      <c r="H398" s="23" t="n">
        <v>2</v>
      </c>
      <c r="I398" s="25" t="n">
        <f aca="false">IFERROR(INDEX(Products!$C$2:$C$13,MATCH(F398,Products!$A$2:$A$13,0)),0)</f>
        <v>310</v>
      </c>
      <c r="J398" s="25" t="n">
        <f aca="false">H398*I398</f>
        <v>620</v>
      </c>
      <c r="K398" s="25" t="n">
        <f aca="false">IFERROR(INDEX(Products!$D$2:$D$13,MATCH(F398,Products!$A$2:$A$13,0)),0)</f>
        <v>225</v>
      </c>
      <c r="L398" s="25" t="n">
        <f aca="false">H398*K398</f>
        <v>450</v>
      </c>
      <c r="M398" s="25" t="n">
        <f aca="false">J398-L398</f>
        <v>170</v>
      </c>
    </row>
    <row r="399" customFormat="false" ht="15" hidden="false" customHeight="false" outlineLevel="0" collapsed="false">
      <c r="A399" s="23" t="s">
        <v>483</v>
      </c>
      <c r="B399" s="24" t="n">
        <v>45937</v>
      </c>
      <c r="C399" s="23" t="n">
        <f aca="false">MONTH(B399)</f>
        <v>10</v>
      </c>
      <c r="D399" s="23" t="s">
        <v>17</v>
      </c>
      <c r="E399" s="23" t="s">
        <v>116</v>
      </c>
      <c r="F399" s="23" t="s">
        <v>68</v>
      </c>
      <c r="G399" s="23" t="str">
        <f aca="false">IFERROR(INDEX(Products!$B$2:$B$13,MATCH(F399,Products!$A$2:$A$13,0)),"Unknown")</f>
        <v>Laptops</v>
      </c>
      <c r="H399" s="23" t="n">
        <v>1</v>
      </c>
      <c r="I399" s="25" t="n">
        <f aca="false">IFERROR(INDEX(Products!$C$2:$C$13,MATCH(F399,Products!$A$2:$A$13,0)),0)</f>
        <v>780</v>
      </c>
      <c r="J399" s="25" t="n">
        <f aca="false">H399*I399</f>
        <v>780</v>
      </c>
      <c r="K399" s="25" t="n">
        <f aca="false">IFERROR(INDEX(Products!$D$2:$D$13,MATCH(F399,Products!$A$2:$A$13,0)),0)</f>
        <v>590</v>
      </c>
      <c r="L399" s="25" t="n">
        <f aca="false">H399*K399</f>
        <v>590</v>
      </c>
      <c r="M399" s="25" t="n">
        <f aca="false">J399-L399</f>
        <v>190</v>
      </c>
    </row>
    <row r="400" customFormat="false" ht="15" hidden="false" customHeight="false" outlineLevel="0" collapsed="false">
      <c r="A400" s="23" t="s">
        <v>484</v>
      </c>
      <c r="B400" s="24" t="n">
        <v>45938</v>
      </c>
      <c r="C400" s="23" t="n">
        <f aca="false">MONTH(B400)</f>
        <v>10</v>
      </c>
      <c r="D400" s="23" t="s">
        <v>21</v>
      </c>
      <c r="E400" s="23" t="s">
        <v>87</v>
      </c>
      <c r="F400" s="23" t="s">
        <v>71</v>
      </c>
      <c r="G400" s="23" t="str">
        <f aca="false">IFERROR(INDEX(Products!$B$2:$B$13,MATCH(F400,Products!$A$2:$A$13,0)),"Unknown")</f>
        <v>Accessories</v>
      </c>
      <c r="H400" s="23" t="n">
        <v>6</v>
      </c>
      <c r="I400" s="25" t="n">
        <f aca="false">IFERROR(INDEX(Products!$C$2:$C$13,MATCH(F400,Products!$A$2:$A$13,0)),0)</f>
        <v>45</v>
      </c>
      <c r="J400" s="25" t="n">
        <f aca="false">H400*I400</f>
        <v>270</v>
      </c>
      <c r="K400" s="25" t="n">
        <f aca="false">IFERROR(INDEX(Products!$D$2:$D$13,MATCH(F400,Products!$A$2:$A$13,0)),0)</f>
        <v>18</v>
      </c>
      <c r="L400" s="25" t="n">
        <f aca="false">H400*K400</f>
        <v>108</v>
      </c>
      <c r="M400" s="25" t="n">
        <f aca="false">J400-L400</f>
        <v>162</v>
      </c>
    </row>
    <row r="401" customFormat="false" ht="15" hidden="false" customHeight="false" outlineLevel="0" collapsed="false">
      <c r="A401" s="23" t="s">
        <v>485</v>
      </c>
      <c r="B401" s="24" t="n">
        <v>45939</v>
      </c>
      <c r="C401" s="23" t="n">
        <f aca="false">MONTH(B401)</f>
        <v>10</v>
      </c>
      <c r="D401" s="23" t="s">
        <v>21</v>
      </c>
      <c r="E401" s="23" t="s">
        <v>90</v>
      </c>
      <c r="F401" s="23" t="s">
        <v>79</v>
      </c>
      <c r="G401" s="23" t="str">
        <f aca="false">IFERROR(INDEX(Products!$B$2:$B$13,MATCH(F401,Products!$A$2:$A$13,0)),"Unknown")</f>
        <v>Accessories</v>
      </c>
      <c r="H401" s="23" t="n">
        <v>3</v>
      </c>
      <c r="I401" s="25" t="n">
        <f aca="false">IFERROR(INDEX(Products!$C$2:$C$13,MATCH(F401,Products!$A$2:$A$13,0)),0)</f>
        <v>190</v>
      </c>
      <c r="J401" s="25" t="n">
        <f aca="false">H401*I401</f>
        <v>570</v>
      </c>
      <c r="K401" s="25" t="n">
        <f aca="false">IFERROR(INDEX(Products!$D$2:$D$13,MATCH(F401,Products!$A$2:$A$13,0)),0)</f>
        <v>115</v>
      </c>
      <c r="L401" s="25" t="n">
        <f aca="false">H401*K401</f>
        <v>345</v>
      </c>
      <c r="M401" s="25" t="n">
        <f aca="false">J401-L401</f>
        <v>225</v>
      </c>
    </row>
    <row r="402" customFormat="false" ht="15" hidden="false" customHeight="false" outlineLevel="0" collapsed="false">
      <c r="A402" s="23" t="s">
        <v>486</v>
      </c>
      <c r="B402" s="24" t="n">
        <v>45940</v>
      </c>
      <c r="C402" s="23" t="n">
        <f aca="false">MONTH(B402)</f>
        <v>10</v>
      </c>
      <c r="D402" s="23" t="s">
        <v>23</v>
      </c>
      <c r="E402" s="23" t="s">
        <v>77</v>
      </c>
      <c r="F402" s="23" t="s">
        <v>98</v>
      </c>
      <c r="G402" s="23" t="str">
        <f aca="false">IFERROR(INDEX(Products!$B$2:$B$13,MATCH(F402,Products!$A$2:$A$13,0)),"Unknown")</f>
        <v>Monitors</v>
      </c>
      <c r="H402" s="23" t="n">
        <v>5</v>
      </c>
      <c r="I402" s="25" t="n">
        <f aca="false">IFERROR(INDEX(Products!$C$2:$C$13,MATCH(F402,Products!$A$2:$A$13,0)),0)</f>
        <v>480</v>
      </c>
      <c r="J402" s="25" t="n">
        <f aca="false">H402*I402</f>
        <v>2400</v>
      </c>
      <c r="K402" s="25" t="n">
        <f aca="false">IFERROR(INDEX(Products!$D$2:$D$13,MATCH(F402,Products!$A$2:$A$13,0)),0)</f>
        <v>350</v>
      </c>
      <c r="L402" s="25" t="n">
        <f aca="false">H402*K402</f>
        <v>1750</v>
      </c>
      <c r="M402" s="25" t="n">
        <f aca="false">J402-L402</f>
        <v>650</v>
      </c>
    </row>
    <row r="403" customFormat="false" ht="15" hidden="false" customHeight="false" outlineLevel="0" collapsed="false">
      <c r="A403" s="23" t="s">
        <v>487</v>
      </c>
      <c r="B403" s="24" t="n">
        <v>45940</v>
      </c>
      <c r="C403" s="23" t="n">
        <f aca="false">MONTH(B403)</f>
        <v>10</v>
      </c>
      <c r="D403" s="23" t="s">
        <v>21</v>
      </c>
      <c r="E403" s="23" t="s">
        <v>87</v>
      </c>
      <c r="F403" s="23" t="s">
        <v>81</v>
      </c>
      <c r="G403" s="23" t="str">
        <f aca="false">IFERROR(INDEX(Products!$B$2:$B$13,MATCH(F403,Products!$A$2:$A$13,0)),"Unknown")</f>
        <v>Laptops</v>
      </c>
      <c r="H403" s="23" t="n">
        <v>1</v>
      </c>
      <c r="I403" s="25" t="n">
        <f aca="false">IFERROR(INDEX(Products!$C$2:$C$13,MATCH(F403,Products!$A$2:$A$13,0)),0)</f>
        <v>950</v>
      </c>
      <c r="J403" s="25" t="n">
        <f aca="false">H403*I403</f>
        <v>950</v>
      </c>
      <c r="K403" s="25" t="n">
        <f aca="false">IFERROR(INDEX(Products!$D$2:$D$13,MATCH(F403,Products!$A$2:$A$13,0)),0)</f>
        <v>720</v>
      </c>
      <c r="L403" s="25" t="n">
        <f aca="false">H403*K403</f>
        <v>720</v>
      </c>
      <c r="M403" s="25" t="n">
        <f aca="false">J403-L403</f>
        <v>230</v>
      </c>
    </row>
    <row r="404" customFormat="false" ht="15" hidden="false" customHeight="false" outlineLevel="0" collapsed="false">
      <c r="A404" s="23" t="s">
        <v>488</v>
      </c>
      <c r="B404" s="24" t="n">
        <v>45941</v>
      </c>
      <c r="C404" s="23" t="n">
        <f aca="false">MONTH(B404)</f>
        <v>10</v>
      </c>
      <c r="D404" s="23" t="s">
        <v>21</v>
      </c>
      <c r="E404" s="23" t="s">
        <v>90</v>
      </c>
      <c r="F404" s="23" t="s">
        <v>88</v>
      </c>
      <c r="G404" s="23" t="str">
        <f aca="false">IFERROR(INDEX(Products!$B$2:$B$13,MATCH(F404,Products!$A$2:$A$13,0)),"Unknown")</f>
        <v>Accessories</v>
      </c>
      <c r="H404" s="23" t="n">
        <v>3</v>
      </c>
      <c r="I404" s="25" t="n">
        <f aca="false">IFERROR(INDEX(Products!$C$2:$C$13,MATCH(F404,Products!$A$2:$A$13,0)),0)</f>
        <v>85</v>
      </c>
      <c r="J404" s="25" t="n">
        <f aca="false">H404*I404</f>
        <v>255</v>
      </c>
      <c r="K404" s="25" t="n">
        <f aca="false">IFERROR(INDEX(Products!$D$2:$D$13,MATCH(F404,Products!$A$2:$A$13,0)),0)</f>
        <v>38</v>
      </c>
      <c r="L404" s="25" t="n">
        <f aca="false">H404*K404</f>
        <v>114</v>
      </c>
      <c r="M404" s="25" t="n">
        <f aca="false">J404-L404</f>
        <v>141</v>
      </c>
    </row>
    <row r="405" customFormat="false" ht="15" hidden="false" customHeight="false" outlineLevel="0" collapsed="false">
      <c r="A405" s="23" t="s">
        <v>489</v>
      </c>
      <c r="B405" s="24" t="n">
        <v>45941</v>
      </c>
      <c r="C405" s="23" t="n">
        <f aca="false">MONTH(B405)</f>
        <v>10</v>
      </c>
      <c r="D405" s="23" t="s">
        <v>19</v>
      </c>
      <c r="E405" s="23" t="s">
        <v>73</v>
      </c>
      <c r="F405" s="23" t="s">
        <v>81</v>
      </c>
      <c r="G405" s="23" t="str">
        <f aca="false">IFERROR(INDEX(Products!$B$2:$B$13,MATCH(F405,Products!$A$2:$A$13,0)),"Unknown")</f>
        <v>Laptops</v>
      </c>
      <c r="H405" s="23" t="n">
        <v>4</v>
      </c>
      <c r="I405" s="25" t="n">
        <f aca="false">IFERROR(INDEX(Products!$C$2:$C$13,MATCH(F405,Products!$A$2:$A$13,0)),0)</f>
        <v>950</v>
      </c>
      <c r="J405" s="25" t="n">
        <f aca="false">H405*I405</f>
        <v>3800</v>
      </c>
      <c r="K405" s="25" t="n">
        <f aca="false">IFERROR(INDEX(Products!$D$2:$D$13,MATCH(F405,Products!$A$2:$A$13,0)),0)</f>
        <v>720</v>
      </c>
      <c r="L405" s="25" t="n">
        <f aca="false">H405*K405</f>
        <v>2880</v>
      </c>
      <c r="M405" s="25" t="n">
        <f aca="false">J405-L405</f>
        <v>920</v>
      </c>
    </row>
    <row r="406" customFormat="false" ht="15" hidden="false" customHeight="false" outlineLevel="0" collapsed="false">
      <c r="A406" s="23" t="s">
        <v>490</v>
      </c>
      <c r="B406" s="24" t="n">
        <v>45942</v>
      </c>
      <c r="C406" s="23" t="n">
        <f aca="false">MONTH(B406)</f>
        <v>10</v>
      </c>
      <c r="D406" s="23" t="s">
        <v>23</v>
      </c>
      <c r="E406" s="23" t="s">
        <v>77</v>
      </c>
      <c r="F406" s="23" t="s">
        <v>88</v>
      </c>
      <c r="G406" s="23" t="str">
        <f aca="false">IFERROR(INDEX(Products!$B$2:$B$13,MATCH(F406,Products!$A$2:$A$13,0)),"Unknown")</f>
        <v>Accessories</v>
      </c>
      <c r="H406" s="23" t="n">
        <v>15</v>
      </c>
      <c r="I406" s="25" t="n">
        <f aca="false">IFERROR(INDEX(Products!$C$2:$C$13,MATCH(F406,Products!$A$2:$A$13,0)),0)</f>
        <v>85</v>
      </c>
      <c r="J406" s="25" t="n">
        <f aca="false">H406*I406</f>
        <v>1275</v>
      </c>
      <c r="K406" s="25" t="n">
        <f aca="false">IFERROR(INDEX(Products!$D$2:$D$13,MATCH(F406,Products!$A$2:$A$13,0)),0)</f>
        <v>38</v>
      </c>
      <c r="L406" s="25" t="n">
        <f aca="false">H406*K406</f>
        <v>570</v>
      </c>
      <c r="M406" s="25" t="n">
        <f aca="false">J406-L406</f>
        <v>705</v>
      </c>
    </row>
    <row r="407" customFormat="false" ht="15" hidden="false" customHeight="false" outlineLevel="0" collapsed="false">
      <c r="A407" s="23" t="s">
        <v>491</v>
      </c>
      <c r="B407" s="24" t="n">
        <v>45943</v>
      </c>
      <c r="C407" s="23" t="n">
        <f aca="false">MONTH(B407)</f>
        <v>10</v>
      </c>
      <c r="D407" s="23" t="s">
        <v>17</v>
      </c>
      <c r="E407" s="23" t="s">
        <v>116</v>
      </c>
      <c r="F407" s="23" t="s">
        <v>94</v>
      </c>
      <c r="G407" s="23" t="str">
        <f aca="false">IFERROR(INDEX(Products!$B$2:$B$13,MATCH(F407,Products!$A$2:$A$13,0)),"Unknown")</f>
        <v>Laptops</v>
      </c>
      <c r="H407" s="23" t="n">
        <v>1</v>
      </c>
      <c r="I407" s="25" t="n">
        <f aca="false">IFERROR(INDEX(Products!$C$2:$C$13,MATCH(F407,Products!$A$2:$A$13,0)),0)</f>
        <v>1350</v>
      </c>
      <c r="J407" s="25" t="n">
        <f aca="false">H407*I407</f>
        <v>1350</v>
      </c>
      <c r="K407" s="25" t="n">
        <f aca="false">IFERROR(INDEX(Products!$D$2:$D$13,MATCH(F407,Products!$A$2:$A$13,0)),0)</f>
        <v>1040</v>
      </c>
      <c r="L407" s="25" t="n">
        <f aca="false">H407*K407</f>
        <v>1040</v>
      </c>
      <c r="M407" s="25" t="n">
        <f aca="false">J407-L407</f>
        <v>310</v>
      </c>
    </row>
    <row r="408" customFormat="false" ht="15" hidden="false" customHeight="false" outlineLevel="0" collapsed="false">
      <c r="A408" s="23" t="s">
        <v>492</v>
      </c>
      <c r="B408" s="24" t="n">
        <v>45944</v>
      </c>
      <c r="C408" s="23" t="n">
        <f aca="false">MONTH(B408)</f>
        <v>10</v>
      </c>
      <c r="D408" s="23" t="s">
        <v>21</v>
      </c>
      <c r="E408" s="23" t="s">
        <v>90</v>
      </c>
      <c r="F408" s="23" t="s">
        <v>79</v>
      </c>
      <c r="G408" s="23" t="str">
        <f aca="false">IFERROR(INDEX(Products!$B$2:$B$13,MATCH(F408,Products!$A$2:$A$13,0)),"Unknown")</f>
        <v>Accessories</v>
      </c>
      <c r="H408" s="23" t="n">
        <v>3</v>
      </c>
      <c r="I408" s="25" t="n">
        <f aca="false">IFERROR(INDEX(Products!$C$2:$C$13,MATCH(F408,Products!$A$2:$A$13,0)),0)</f>
        <v>190</v>
      </c>
      <c r="J408" s="25" t="n">
        <f aca="false">H408*I408</f>
        <v>570</v>
      </c>
      <c r="K408" s="25" t="n">
        <f aca="false">IFERROR(INDEX(Products!$D$2:$D$13,MATCH(F408,Products!$A$2:$A$13,0)),0)</f>
        <v>115</v>
      </c>
      <c r="L408" s="25" t="n">
        <f aca="false">H408*K408</f>
        <v>345</v>
      </c>
      <c r="M408" s="25" t="n">
        <f aca="false">J408-L408</f>
        <v>225</v>
      </c>
    </row>
    <row r="409" customFormat="false" ht="15" hidden="false" customHeight="false" outlineLevel="0" collapsed="false">
      <c r="A409" s="23" t="s">
        <v>493</v>
      </c>
      <c r="B409" s="24" t="n">
        <v>45945</v>
      </c>
      <c r="C409" s="23" t="n">
        <f aca="false">MONTH(B409)</f>
        <v>10</v>
      </c>
      <c r="D409" s="23" t="s">
        <v>21</v>
      </c>
      <c r="E409" s="23" t="s">
        <v>90</v>
      </c>
      <c r="F409" s="23" t="s">
        <v>74</v>
      </c>
      <c r="G409" s="23" t="str">
        <f aca="false">IFERROR(INDEX(Products!$B$2:$B$13,MATCH(F409,Products!$A$2:$A$13,0)),"Unknown")</f>
        <v>Monitors</v>
      </c>
      <c r="H409" s="23" t="n">
        <v>2</v>
      </c>
      <c r="I409" s="25" t="n">
        <f aca="false">IFERROR(INDEX(Products!$C$2:$C$13,MATCH(F409,Products!$A$2:$A$13,0)),0)</f>
        <v>310</v>
      </c>
      <c r="J409" s="25" t="n">
        <f aca="false">H409*I409</f>
        <v>620</v>
      </c>
      <c r="K409" s="25" t="n">
        <f aca="false">IFERROR(INDEX(Products!$D$2:$D$13,MATCH(F409,Products!$A$2:$A$13,0)),0)</f>
        <v>225</v>
      </c>
      <c r="L409" s="25" t="n">
        <f aca="false">H409*K409</f>
        <v>450</v>
      </c>
      <c r="M409" s="25" t="n">
        <f aca="false">J409-L409</f>
        <v>170</v>
      </c>
    </row>
    <row r="410" customFormat="false" ht="15" hidden="false" customHeight="false" outlineLevel="0" collapsed="false">
      <c r="A410" s="23" t="s">
        <v>494</v>
      </c>
      <c r="B410" s="24" t="n">
        <v>45945</v>
      </c>
      <c r="C410" s="23" t="n">
        <f aca="false">MONTH(B410)</f>
        <v>10</v>
      </c>
      <c r="D410" s="23" t="s">
        <v>21</v>
      </c>
      <c r="E410" s="23" t="s">
        <v>90</v>
      </c>
      <c r="F410" s="23" t="s">
        <v>94</v>
      </c>
      <c r="G410" s="23" t="str">
        <f aca="false">IFERROR(INDEX(Products!$B$2:$B$13,MATCH(F410,Products!$A$2:$A$13,0)),"Unknown")</f>
        <v>Laptops</v>
      </c>
      <c r="H410" s="23" t="n">
        <v>2</v>
      </c>
      <c r="I410" s="25" t="n">
        <f aca="false">IFERROR(INDEX(Products!$C$2:$C$13,MATCH(F410,Products!$A$2:$A$13,0)),0)</f>
        <v>1350</v>
      </c>
      <c r="J410" s="25" t="n">
        <f aca="false">H410*I410</f>
        <v>2700</v>
      </c>
      <c r="K410" s="25" t="n">
        <f aca="false">IFERROR(INDEX(Products!$D$2:$D$13,MATCH(F410,Products!$A$2:$A$13,0)),0)</f>
        <v>1040</v>
      </c>
      <c r="L410" s="25" t="n">
        <f aca="false">H410*K410</f>
        <v>2080</v>
      </c>
      <c r="M410" s="25" t="n">
        <f aca="false">J410-L410</f>
        <v>620</v>
      </c>
    </row>
    <row r="411" customFormat="false" ht="15" hidden="false" customHeight="false" outlineLevel="0" collapsed="false">
      <c r="A411" s="23" t="s">
        <v>495</v>
      </c>
      <c r="B411" s="24" t="n">
        <v>45945</v>
      </c>
      <c r="C411" s="23" t="n">
        <f aca="false">MONTH(B411)</f>
        <v>10</v>
      </c>
      <c r="D411" s="23" t="s">
        <v>23</v>
      </c>
      <c r="E411" s="23" t="s">
        <v>77</v>
      </c>
      <c r="F411" s="23" t="s">
        <v>96</v>
      </c>
      <c r="G411" s="23" t="str">
        <f aca="false">IFERROR(INDEX(Products!$B$2:$B$13,MATCH(F411,Products!$A$2:$A$13,0)),"Unknown")</f>
        <v>Tablets</v>
      </c>
      <c r="H411" s="23" t="n">
        <v>2</v>
      </c>
      <c r="I411" s="25" t="n">
        <f aca="false">IFERROR(INDEX(Products!$C$2:$C$13,MATCH(F411,Products!$A$2:$A$13,0)),0)</f>
        <v>260</v>
      </c>
      <c r="J411" s="25" t="n">
        <f aca="false">H411*I411</f>
        <v>520</v>
      </c>
      <c r="K411" s="25" t="n">
        <f aca="false">IFERROR(INDEX(Products!$D$2:$D$13,MATCH(F411,Products!$A$2:$A$13,0)),0)</f>
        <v>180</v>
      </c>
      <c r="L411" s="25" t="n">
        <f aca="false">H411*K411</f>
        <v>360</v>
      </c>
      <c r="M411" s="25" t="n">
        <f aca="false">J411-L411</f>
        <v>160</v>
      </c>
    </row>
    <row r="412" customFormat="false" ht="15" hidden="false" customHeight="false" outlineLevel="0" collapsed="false">
      <c r="A412" s="23" t="s">
        <v>496</v>
      </c>
      <c r="B412" s="24" t="n">
        <v>45945</v>
      </c>
      <c r="C412" s="23" t="n">
        <f aca="false">MONTH(B412)</f>
        <v>10</v>
      </c>
      <c r="D412" s="23" t="s">
        <v>21</v>
      </c>
      <c r="E412" s="23" t="s">
        <v>90</v>
      </c>
      <c r="F412" s="23" t="s">
        <v>68</v>
      </c>
      <c r="G412" s="23" t="str">
        <f aca="false">IFERROR(INDEX(Products!$B$2:$B$13,MATCH(F412,Products!$A$2:$A$13,0)),"Unknown")</f>
        <v>Laptops</v>
      </c>
      <c r="H412" s="23" t="n">
        <v>2</v>
      </c>
      <c r="I412" s="25" t="n">
        <f aca="false">IFERROR(INDEX(Products!$C$2:$C$13,MATCH(F412,Products!$A$2:$A$13,0)),0)</f>
        <v>780</v>
      </c>
      <c r="J412" s="25" t="n">
        <f aca="false">H412*I412</f>
        <v>1560</v>
      </c>
      <c r="K412" s="25" t="n">
        <f aca="false">IFERROR(INDEX(Products!$D$2:$D$13,MATCH(F412,Products!$A$2:$A$13,0)),0)</f>
        <v>590</v>
      </c>
      <c r="L412" s="25" t="n">
        <f aca="false">H412*K412</f>
        <v>1180</v>
      </c>
      <c r="M412" s="25" t="n">
        <f aca="false">J412-L412</f>
        <v>380</v>
      </c>
    </row>
    <row r="413" customFormat="false" ht="15" hidden="false" customHeight="false" outlineLevel="0" collapsed="false">
      <c r="A413" s="23" t="s">
        <v>497</v>
      </c>
      <c r="B413" s="24" t="n">
        <v>45945</v>
      </c>
      <c r="C413" s="23" t="n">
        <f aca="false">MONTH(B413)</f>
        <v>10</v>
      </c>
      <c r="D413" s="23" t="s">
        <v>19</v>
      </c>
      <c r="E413" s="23" t="s">
        <v>73</v>
      </c>
      <c r="F413" s="23" t="s">
        <v>96</v>
      </c>
      <c r="G413" s="23" t="str">
        <f aca="false">IFERROR(INDEX(Products!$B$2:$B$13,MATCH(F413,Products!$A$2:$A$13,0)),"Unknown")</f>
        <v>Tablets</v>
      </c>
      <c r="H413" s="23" t="n">
        <v>1</v>
      </c>
      <c r="I413" s="25" t="n">
        <f aca="false">IFERROR(INDEX(Products!$C$2:$C$13,MATCH(F413,Products!$A$2:$A$13,0)),0)</f>
        <v>260</v>
      </c>
      <c r="J413" s="25" t="n">
        <f aca="false">H413*I413</f>
        <v>260</v>
      </c>
      <c r="K413" s="25" t="n">
        <f aca="false">IFERROR(INDEX(Products!$D$2:$D$13,MATCH(F413,Products!$A$2:$A$13,0)),0)</f>
        <v>180</v>
      </c>
      <c r="L413" s="25" t="n">
        <f aca="false">H413*K413</f>
        <v>180</v>
      </c>
      <c r="M413" s="25" t="n">
        <f aca="false">J413-L413</f>
        <v>80</v>
      </c>
    </row>
    <row r="414" customFormat="false" ht="15" hidden="false" customHeight="false" outlineLevel="0" collapsed="false">
      <c r="A414" s="23" t="s">
        <v>498</v>
      </c>
      <c r="B414" s="24" t="n">
        <v>45946</v>
      </c>
      <c r="C414" s="23" t="n">
        <f aca="false">MONTH(B414)</f>
        <v>10</v>
      </c>
      <c r="D414" s="23" t="s">
        <v>21</v>
      </c>
      <c r="E414" s="23" t="s">
        <v>87</v>
      </c>
      <c r="F414" s="23" t="s">
        <v>88</v>
      </c>
      <c r="G414" s="23" t="str">
        <f aca="false">IFERROR(INDEX(Products!$B$2:$B$13,MATCH(F414,Products!$A$2:$A$13,0)),"Unknown")</f>
        <v>Accessories</v>
      </c>
      <c r="H414" s="23" t="n">
        <v>6</v>
      </c>
      <c r="I414" s="25" t="n">
        <f aca="false">IFERROR(INDEX(Products!$C$2:$C$13,MATCH(F414,Products!$A$2:$A$13,0)),0)</f>
        <v>85</v>
      </c>
      <c r="J414" s="25" t="n">
        <f aca="false">H414*I414</f>
        <v>510</v>
      </c>
      <c r="K414" s="25" t="n">
        <f aca="false">IFERROR(INDEX(Products!$D$2:$D$13,MATCH(F414,Products!$A$2:$A$13,0)),0)</f>
        <v>38</v>
      </c>
      <c r="L414" s="25" t="n">
        <f aca="false">H414*K414</f>
        <v>228</v>
      </c>
      <c r="M414" s="25" t="n">
        <f aca="false">J414-L414</f>
        <v>282</v>
      </c>
    </row>
    <row r="415" customFormat="false" ht="15" hidden="false" customHeight="false" outlineLevel="0" collapsed="false">
      <c r="A415" s="23" t="s">
        <v>499</v>
      </c>
      <c r="B415" s="24" t="n">
        <v>45946</v>
      </c>
      <c r="C415" s="23" t="n">
        <f aca="false">MONTH(B415)</f>
        <v>10</v>
      </c>
      <c r="D415" s="23" t="s">
        <v>17</v>
      </c>
      <c r="E415" s="23" t="s">
        <v>67</v>
      </c>
      <c r="F415" s="23" t="s">
        <v>83</v>
      </c>
      <c r="G415" s="23" t="str">
        <f aca="false">IFERROR(INDEX(Products!$B$2:$B$13,MATCH(F415,Products!$A$2:$A$13,0)),"Unknown")</f>
        <v>Phones</v>
      </c>
      <c r="H415" s="23" t="n">
        <v>1</v>
      </c>
      <c r="I415" s="25" t="n">
        <f aca="false">IFERROR(INDEX(Products!$C$2:$C$13,MATCH(F415,Products!$A$2:$A$13,0)),0)</f>
        <v>640</v>
      </c>
      <c r="J415" s="25" t="n">
        <f aca="false">H415*I415</f>
        <v>640</v>
      </c>
      <c r="K415" s="25" t="n">
        <f aca="false">IFERROR(INDEX(Products!$D$2:$D$13,MATCH(F415,Products!$A$2:$A$13,0)),0)</f>
        <v>470</v>
      </c>
      <c r="L415" s="25" t="n">
        <f aca="false">H415*K415</f>
        <v>470</v>
      </c>
      <c r="M415" s="25" t="n">
        <f aca="false">J415-L415</f>
        <v>170</v>
      </c>
    </row>
    <row r="416" customFormat="false" ht="15" hidden="false" customHeight="false" outlineLevel="0" collapsed="false">
      <c r="A416" s="23" t="s">
        <v>500</v>
      </c>
      <c r="B416" s="24" t="n">
        <v>45947</v>
      </c>
      <c r="C416" s="23" t="n">
        <f aca="false">MONTH(B416)</f>
        <v>10</v>
      </c>
      <c r="D416" s="23" t="s">
        <v>23</v>
      </c>
      <c r="E416" s="23" t="s">
        <v>77</v>
      </c>
      <c r="F416" s="23" t="s">
        <v>71</v>
      </c>
      <c r="G416" s="23" t="str">
        <f aca="false">IFERROR(INDEX(Products!$B$2:$B$13,MATCH(F416,Products!$A$2:$A$13,0)),"Unknown")</f>
        <v>Accessories</v>
      </c>
      <c r="H416" s="23" t="n">
        <v>15</v>
      </c>
      <c r="I416" s="25" t="n">
        <f aca="false">IFERROR(INDEX(Products!$C$2:$C$13,MATCH(F416,Products!$A$2:$A$13,0)),0)</f>
        <v>45</v>
      </c>
      <c r="J416" s="25" t="n">
        <f aca="false">H416*I416</f>
        <v>675</v>
      </c>
      <c r="K416" s="25" t="n">
        <f aca="false">IFERROR(INDEX(Products!$D$2:$D$13,MATCH(F416,Products!$A$2:$A$13,0)),0)</f>
        <v>18</v>
      </c>
      <c r="L416" s="25" t="n">
        <f aca="false">H416*K416</f>
        <v>270</v>
      </c>
      <c r="M416" s="25" t="n">
        <f aca="false">J416-L416</f>
        <v>405</v>
      </c>
    </row>
    <row r="417" customFormat="false" ht="15" hidden="false" customHeight="false" outlineLevel="0" collapsed="false">
      <c r="A417" s="23" t="s">
        <v>501</v>
      </c>
      <c r="B417" s="24" t="n">
        <v>45947</v>
      </c>
      <c r="C417" s="23" t="n">
        <f aca="false">MONTH(B417)</f>
        <v>10</v>
      </c>
      <c r="D417" s="23" t="s">
        <v>23</v>
      </c>
      <c r="E417" s="23" t="s">
        <v>85</v>
      </c>
      <c r="F417" s="23" t="s">
        <v>91</v>
      </c>
      <c r="G417" s="23" t="str">
        <f aca="false">IFERROR(INDEX(Products!$B$2:$B$13,MATCH(F417,Products!$A$2:$A$13,0)),"Unknown")</f>
        <v>Tablets</v>
      </c>
      <c r="H417" s="23" t="n">
        <v>1</v>
      </c>
      <c r="I417" s="25" t="n">
        <f aca="false">IFERROR(INDEX(Products!$C$2:$C$13,MATCH(F417,Products!$A$2:$A$13,0)),0)</f>
        <v>420</v>
      </c>
      <c r="J417" s="25" t="n">
        <f aca="false">H417*I417</f>
        <v>420</v>
      </c>
      <c r="K417" s="25" t="n">
        <f aca="false">IFERROR(INDEX(Products!$D$2:$D$13,MATCH(F417,Products!$A$2:$A$13,0)),0)</f>
        <v>300</v>
      </c>
      <c r="L417" s="25" t="n">
        <f aca="false">H417*K417</f>
        <v>300</v>
      </c>
      <c r="M417" s="25" t="n">
        <f aca="false">J417-L417</f>
        <v>120</v>
      </c>
    </row>
    <row r="418" customFormat="false" ht="15" hidden="false" customHeight="false" outlineLevel="0" collapsed="false">
      <c r="A418" s="23" t="s">
        <v>502</v>
      </c>
      <c r="B418" s="24" t="n">
        <v>45947</v>
      </c>
      <c r="C418" s="23" t="n">
        <f aca="false">MONTH(B418)</f>
        <v>10</v>
      </c>
      <c r="D418" s="23" t="s">
        <v>21</v>
      </c>
      <c r="E418" s="23" t="s">
        <v>87</v>
      </c>
      <c r="F418" s="23" t="s">
        <v>83</v>
      </c>
      <c r="G418" s="23" t="str">
        <f aca="false">IFERROR(INDEX(Products!$B$2:$B$13,MATCH(F418,Products!$A$2:$A$13,0)),"Unknown")</f>
        <v>Phones</v>
      </c>
      <c r="H418" s="23" t="n">
        <v>3</v>
      </c>
      <c r="I418" s="25" t="n">
        <f aca="false">IFERROR(INDEX(Products!$C$2:$C$13,MATCH(F418,Products!$A$2:$A$13,0)),0)</f>
        <v>640</v>
      </c>
      <c r="J418" s="25" t="n">
        <f aca="false">H418*I418</f>
        <v>1920</v>
      </c>
      <c r="K418" s="25" t="n">
        <f aca="false">IFERROR(INDEX(Products!$D$2:$D$13,MATCH(F418,Products!$A$2:$A$13,0)),0)</f>
        <v>470</v>
      </c>
      <c r="L418" s="25" t="n">
        <f aca="false">H418*K418</f>
        <v>1410</v>
      </c>
      <c r="M418" s="25" t="n">
        <f aca="false">J418-L418</f>
        <v>510</v>
      </c>
    </row>
    <row r="419" customFormat="false" ht="15" hidden="false" customHeight="false" outlineLevel="0" collapsed="false">
      <c r="A419" s="23" t="s">
        <v>503</v>
      </c>
      <c r="B419" s="24" t="n">
        <v>45948</v>
      </c>
      <c r="C419" s="23" t="n">
        <f aca="false">MONTH(B419)</f>
        <v>10</v>
      </c>
      <c r="D419" s="23" t="s">
        <v>17</v>
      </c>
      <c r="E419" s="23" t="s">
        <v>116</v>
      </c>
      <c r="F419" s="23" t="s">
        <v>74</v>
      </c>
      <c r="G419" s="23" t="str">
        <f aca="false">IFERROR(INDEX(Products!$B$2:$B$13,MATCH(F419,Products!$A$2:$A$13,0)),"Unknown")</f>
        <v>Monitors</v>
      </c>
      <c r="H419" s="23" t="n">
        <v>1</v>
      </c>
      <c r="I419" s="25" t="n">
        <f aca="false">IFERROR(INDEX(Products!$C$2:$C$13,MATCH(F419,Products!$A$2:$A$13,0)),0)</f>
        <v>310</v>
      </c>
      <c r="J419" s="25" t="n">
        <f aca="false">H419*I419</f>
        <v>310</v>
      </c>
      <c r="K419" s="25" t="n">
        <f aca="false">IFERROR(INDEX(Products!$D$2:$D$13,MATCH(F419,Products!$A$2:$A$13,0)),0)</f>
        <v>225</v>
      </c>
      <c r="L419" s="25" t="n">
        <f aca="false">H419*K419</f>
        <v>225</v>
      </c>
      <c r="M419" s="25" t="n">
        <f aca="false">J419-L419</f>
        <v>85</v>
      </c>
    </row>
    <row r="420" customFormat="false" ht="15" hidden="false" customHeight="false" outlineLevel="0" collapsed="false">
      <c r="A420" s="23" t="s">
        <v>504</v>
      </c>
      <c r="B420" s="24" t="n">
        <v>45948</v>
      </c>
      <c r="C420" s="23" t="n">
        <f aca="false">MONTH(B420)</f>
        <v>10</v>
      </c>
      <c r="D420" s="23" t="s">
        <v>23</v>
      </c>
      <c r="E420" s="23" t="s">
        <v>85</v>
      </c>
      <c r="F420" s="23" t="s">
        <v>81</v>
      </c>
      <c r="G420" s="23" t="str">
        <f aca="false">IFERROR(INDEX(Products!$B$2:$B$13,MATCH(F420,Products!$A$2:$A$13,0)),"Unknown")</f>
        <v>Laptops</v>
      </c>
      <c r="H420" s="23" t="n">
        <v>3</v>
      </c>
      <c r="I420" s="25" t="n">
        <f aca="false">IFERROR(INDEX(Products!$C$2:$C$13,MATCH(F420,Products!$A$2:$A$13,0)),0)</f>
        <v>950</v>
      </c>
      <c r="J420" s="25" t="n">
        <f aca="false">H420*I420</f>
        <v>2850</v>
      </c>
      <c r="K420" s="25" t="n">
        <f aca="false">IFERROR(INDEX(Products!$D$2:$D$13,MATCH(F420,Products!$A$2:$A$13,0)),0)</f>
        <v>720</v>
      </c>
      <c r="L420" s="25" t="n">
        <f aca="false">H420*K420</f>
        <v>2160</v>
      </c>
      <c r="M420" s="25" t="n">
        <f aca="false">J420-L420</f>
        <v>690</v>
      </c>
    </row>
    <row r="421" customFormat="false" ht="15" hidden="false" customHeight="false" outlineLevel="0" collapsed="false">
      <c r="A421" s="23" t="s">
        <v>505</v>
      </c>
      <c r="B421" s="24" t="n">
        <v>45949</v>
      </c>
      <c r="C421" s="23" t="n">
        <f aca="false">MONTH(B421)</f>
        <v>10</v>
      </c>
      <c r="D421" s="23" t="s">
        <v>17</v>
      </c>
      <c r="E421" s="23" t="s">
        <v>67</v>
      </c>
      <c r="F421" s="23" t="s">
        <v>81</v>
      </c>
      <c r="G421" s="23" t="str">
        <f aca="false">IFERROR(INDEX(Products!$B$2:$B$13,MATCH(F421,Products!$A$2:$A$13,0)),"Unknown")</f>
        <v>Laptops</v>
      </c>
      <c r="H421" s="23" t="n">
        <v>2</v>
      </c>
      <c r="I421" s="25" t="n">
        <f aca="false">IFERROR(INDEX(Products!$C$2:$C$13,MATCH(F421,Products!$A$2:$A$13,0)),0)</f>
        <v>950</v>
      </c>
      <c r="J421" s="25" t="n">
        <f aca="false">H421*I421</f>
        <v>1900</v>
      </c>
      <c r="K421" s="25" t="n">
        <f aca="false">IFERROR(INDEX(Products!$D$2:$D$13,MATCH(F421,Products!$A$2:$A$13,0)),0)</f>
        <v>720</v>
      </c>
      <c r="L421" s="25" t="n">
        <f aca="false">H421*K421</f>
        <v>1440</v>
      </c>
      <c r="M421" s="25" t="n">
        <f aca="false">J421-L421</f>
        <v>460</v>
      </c>
    </row>
    <row r="422" customFormat="false" ht="15" hidden="false" customHeight="false" outlineLevel="0" collapsed="false">
      <c r="A422" s="23" t="s">
        <v>506</v>
      </c>
      <c r="B422" s="24" t="n">
        <v>45950</v>
      </c>
      <c r="C422" s="23" t="n">
        <f aca="false">MONTH(B422)</f>
        <v>10</v>
      </c>
      <c r="D422" s="23" t="s">
        <v>23</v>
      </c>
      <c r="E422" s="23" t="s">
        <v>77</v>
      </c>
      <c r="F422" s="23" t="s">
        <v>71</v>
      </c>
      <c r="G422" s="23" t="str">
        <f aca="false">IFERROR(INDEX(Products!$B$2:$B$13,MATCH(F422,Products!$A$2:$A$13,0)),"Unknown")</f>
        <v>Accessories</v>
      </c>
      <c r="H422" s="23" t="n">
        <v>9</v>
      </c>
      <c r="I422" s="25" t="n">
        <f aca="false">IFERROR(INDEX(Products!$C$2:$C$13,MATCH(F422,Products!$A$2:$A$13,0)),0)</f>
        <v>45</v>
      </c>
      <c r="J422" s="25" t="n">
        <f aca="false">H422*I422</f>
        <v>405</v>
      </c>
      <c r="K422" s="25" t="n">
        <f aca="false">IFERROR(INDEX(Products!$D$2:$D$13,MATCH(F422,Products!$A$2:$A$13,0)),0)</f>
        <v>18</v>
      </c>
      <c r="L422" s="25" t="n">
        <f aca="false">H422*K422</f>
        <v>162</v>
      </c>
      <c r="M422" s="25" t="n">
        <f aca="false">J422-L422</f>
        <v>243</v>
      </c>
    </row>
    <row r="423" customFormat="false" ht="15" hidden="false" customHeight="false" outlineLevel="0" collapsed="false">
      <c r="A423" s="23" t="s">
        <v>507</v>
      </c>
      <c r="B423" s="24" t="n">
        <v>45950</v>
      </c>
      <c r="C423" s="23" t="n">
        <f aca="false">MONTH(B423)</f>
        <v>10</v>
      </c>
      <c r="D423" s="23" t="s">
        <v>17</v>
      </c>
      <c r="E423" s="23" t="s">
        <v>116</v>
      </c>
      <c r="F423" s="23" t="s">
        <v>83</v>
      </c>
      <c r="G423" s="23" t="str">
        <f aca="false">IFERROR(INDEX(Products!$B$2:$B$13,MATCH(F423,Products!$A$2:$A$13,0)),"Unknown")</f>
        <v>Phones</v>
      </c>
      <c r="H423" s="23" t="n">
        <v>1</v>
      </c>
      <c r="I423" s="25" t="n">
        <f aca="false">IFERROR(INDEX(Products!$C$2:$C$13,MATCH(F423,Products!$A$2:$A$13,0)),0)</f>
        <v>640</v>
      </c>
      <c r="J423" s="25" t="n">
        <f aca="false">H423*I423</f>
        <v>640</v>
      </c>
      <c r="K423" s="25" t="n">
        <f aca="false">IFERROR(INDEX(Products!$D$2:$D$13,MATCH(F423,Products!$A$2:$A$13,0)),0)</f>
        <v>470</v>
      </c>
      <c r="L423" s="25" t="n">
        <f aca="false">H423*K423</f>
        <v>470</v>
      </c>
      <c r="M423" s="25" t="n">
        <f aca="false">J423-L423</f>
        <v>170</v>
      </c>
    </row>
    <row r="424" customFormat="false" ht="15" hidden="false" customHeight="false" outlineLevel="0" collapsed="false">
      <c r="A424" s="23" t="s">
        <v>508</v>
      </c>
      <c r="B424" s="24" t="n">
        <v>45951</v>
      </c>
      <c r="C424" s="23" t="n">
        <f aca="false">MONTH(B424)</f>
        <v>10</v>
      </c>
      <c r="D424" s="23" t="s">
        <v>23</v>
      </c>
      <c r="E424" s="23" t="s">
        <v>85</v>
      </c>
      <c r="F424" s="23" t="s">
        <v>96</v>
      </c>
      <c r="G424" s="23" t="str">
        <f aca="false">IFERROR(INDEX(Products!$B$2:$B$13,MATCH(F424,Products!$A$2:$A$13,0)),"Unknown")</f>
        <v>Tablets</v>
      </c>
      <c r="H424" s="23" t="n">
        <v>2</v>
      </c>
      <c r="I424" s="25" t="n">
        <f aca="false">IFERROR(INDEX(Products!$C$2:$C$13,MATCH(F424,Products!$A$2:$A$13,0)),0)</f>
        <v>260</v>
      </c>
      <c r="J424" s="25" t="n">
        <f aca="false">H424*I424</f>
        <v>520</v>
      </c>
      <c r="K424" s="25" t="n">
        <f aca="false">IFERROR(INDEX(Products!$D$2:$D$13,MATCH(F424,Products!$A$2:$A$13,0)),0)</f>
        <v>180</v>
      </c>
      <c r="L424" s="25" t="n">
        <f aca="false">H424*K424</f>
        <v>360</v>
      </c>
      <c r="M424" s="25" t="n">
        <f aca="false">J424-L424</f>
        <v>160</v>
      </c>
    </row>
    <row r="425" customFormat="false" ht="15" hidden="false" customHeight="false" outlineLevel="0" collapsed="false">
      <c r="A425" s="23" t="s">
        <v>509</v>
      </c>
      <c r="B425" s="24" t="n">
        <v>45951</v>
      </c>
      <c r="C425" s="23" t="n">
        <f aca="false">MONTH(B425)</f>
        <v>10</v>
      </c>
      <c r="D425" s="23" t="s">
        <v>21</v>
      </c>
      <c r="E425" s="23" t="s">
        <v>90</v>
      </c>
      <c r="F425" s="23" t="s">
        <v>104</v>
      </c>
      <c r="G425" s="23" t="str">
        <f aca="false">IFERROR(INDEX(Products!$B$2:$B$13,MATCH(F425,Products!$A$2:$A$13,0)),"Unknown")</f>
        <v>Phones</v>
      </c>
      <c r="H425" s="23" t="n">
        <v>2</v>
      </c>
      <c r="I425" s="25" t="n">
        <f aca="false">IFERROR(INDEX(Products!$C$2:$C$13,MATCH(F425,Products!$A$2:$A$13,0)),0)</f>
        <v>290</v>
      </c>
      <c r="J425" s="25" t="n">
        <f aca="false">H425*I425</f>
        <v>580</v>
      </c>
      <c r="K425" s="25" t="n">
        <f aca="false">IFERROR(INDEX(Products!$D$2:$D$13,MATCH(F425,Products!$A$2:$A$13,0)),0)</f>
        <v>205</v>
      </c>
      <c r="L425" s="25" t="n">
        <f aca="false">H425*K425</f>
        <v>410</v>
      </c>
      <c r="M425" s="25" t="n">
        <f aca="false">J425-L425</f>
        <v>170</v>
      </c>
    </row>
    <row r="426" customFormat="false" ht="15" hidden="false" customHeight="false" outlineLevel="0" collapsed="false">
      <c r="A426" s="23" t="s">
        <v>510</v>
      </c>
      <c r="B426" s="24" t="n">
        <v>45952</v>
      </c>
      <c r="C426" s="23" t="n">
        <f aca="false">MONTH(B426)</f>
        <v>10</v>
      </c>
      <c r="D426" s="23" t="s">
        <v>19</v>
      </c>
      <c r="E426" s="23" t="s">
        <v>70</v>
      </c>
      <c r="F426" s="23" t="s">
        <v>81</v>
      </c>
      <c r="G426" s="23" t="str">
        <f aca="false">IFERROR(INDEX(Products!$B$2:$B$13,MATCH(F426,Products!$A$2:$A$13,0)),"Unknown")</f>
        <v>Laptops</v>
      </c>
      <c r="H426" s="23" t="n">
        <v>1</v>
      </c>
      <c r="I426" s="25" t="n">
        <f aca="false">IFERROR(INDEX(Products!$C$2:$C$13,MATCH(F426,Products!$A$2:$A$13,0)),0)</f>
        <v>950</v>
      </c>
      <c r="J426" s="25" t="n">
        <f aca="false">H426*I426</f>
        <v>950</v>
      </c>
      <c r="K426" s="25" t="n">
        <f aca="false">IFERROR(INDEX(Products!$D$2:$D$13,MATCH(F426,Products!$A$2:$A$13,0)),0)</f>
        <v>720</v>
      </c>
      <c r="L426" s="25" t="n">
        <f aca="false">H426*K426</f>
        <v>720</v>
      </c>
      <c r="M426" s="25" t="n">
        <f aca="false">J426-L426</f>
        <v>230</v>
      </c>
    </row>
    <row r="427" customFormat="false" ht="15" hidden="false" customHeight="false" outlineLevel="0" collapsed="false">
      <c r="A427" s="23" t="s">
        <v>511</v>
      </c>
      <c r="B427" s="24" t="n">
        <v>45952</v>
      </c>
      <c r="C427" s="23" t="n">
        <f aca="false">MONTH(B427)</f>
        <v>10</v>
      </c>
      <c r="D427" s="23" t="s">
        <v>17</v>
      </c>
      <c r="E427" s="23" t="s">
        <v>67</v>
      </c>
      <c r="F427" s="23" t="s">
        <v>96</v>
      </c>
      <c r="G427" s="23" t="str">
        <f aca="false">IFERROR(INDEX(Products!$B$2:$B$13,MATCH(F427,Products!$A$2:$A$13,0)),"Unknown")</f>
        <v>Tablets</v>
      </c>
      <c r="H427" s="23" t="n">
        <v>3</v>
      </c>
      <c r="I427" s="25" t="n">
        <f aca="false">IFERROR(INDEX(Products!$C$2:$C$13,MATCH(F427,Products!$A$2:$A$13,0)),0)</f>
        <v>260</v>
      </c>
      <c r="J427" s="25" t="n">
        <f aca="false">H427*I427</f>
        <v>780</v>
      </c>
      <c r="K427" s="25" t="n">
        <f aca="false">IFERROR(INDEX(Products!$D$2:$D$13,MATCH(F427,Products!$A$2:$A$13,0)),0)</f>
        <v>180</v>
      </c>
      <c r="L427" s="25" t="n">
        <f aca="false">H427*K427</f>
        <v>540</v>
      </c>
      <c r="M427" s="25" t="n">
        <f aca="false">J427-L427</f>
        <v>240</v>
      </c>
    </row>
    <row r="428" customFormat="false" ht="15" hidden="false" customHeight="false" outlineLevel="0" collapsed="false">
      <c r="A428" s="23" t="s">
        <v>512</v>
      </c>
      <c r="B428" s="24" t="n">
        <v>45952</v>
      </c>
      <c r="C428" s="23" t="n">
        <f aca="false">MONTH(B428)</f>
        <v>10</v>
      </c>
      <c r="D428" s="23" t="s">
        <v>19</v>
      </c>
      <c r="E428" s="23" t="s">
        <v>73</v>
      </c>
      <c r="F428" s="23" t="s">
        <v>79</v>
      </c>
      <c r="G428" s="23" t="str">
        <f aca="false">IFERROR(INDEX(Products!$B$2:$B$13,MATCH(F428,Products!$A$2:$A$13,0)),"Unknown")</f>
        <v>Accessories</v>
      </c>
      <c r="H428" s="23" t="n">
        <v>15</v>
      </c>
      <c r="I428" s="25" t="n">
        <f aca="false">IFERROR(INDEX(Products!$C$2:$C$13,MATCH(F428,Products!$A$2:$A$13,0)),0)</f>
        <v>190</v>
      </c>
      <c r="J428" s="25" t="n">
        <f aca="false">H428*I428</f>
        <v>2850</v>
      </c>
      <c r="K428" s="25" t="n">
        <f aca="false">IFERROR(INDEX(Products!$D$2:$D$13,MATCH(F428,Products!$A$2:$A$13,0)),0)</f>
        <v>115</v>
      </c>
      <c r="L428" s="25" t="n">
        <f aca="false">H428*K428</f>
        <v>1725</v>
      </c>
      <c r="M428" s="25" t="n">
        <f aca="false">J428-L428</f>
        <v>1125</v>
      </c>
    </row>
    <row r="429" customFormat="false" ht="15" hidden="false" customHeight="false" outlineLevel="0" collapsed="false">
      <c r="A429" s="23" t="s">
        <v>513</v>
      </c>
      <c r="B429" s="24" t="n">
        <v>45952</v>
      </c>
      <c r="C429" s="23" t="n">
        <f aca="false">MONTH(B429)</f>
        <v>10</v>
      </c>
      <c r="D429" s="23" t="s">
        <v>21</v>
      </c>
      <c r="E429" s="23" t="s">
        <v>87</v>
      </c>
      <c r="F429" s="23" t="s">
        <v>79</v>
      </c>
      <c r="G429" s="23" t="str">
        <f aca="false">IFERROR(INDEX(Products!$B$2:$B$13,MATCH(F429,Products!$A$2:$A$13,0)),"Unknown")</f>
        <v>Accessories</v>
      </c>
      <c r="H429" s="23" t="n">
        <v>12</v>
      </c>
      <c r="I429" s="25" t="n">
        <f aca="false">IFERROR(INDEX(Products!$C$2:$C$13,MATCH(F429,Products!$A$2:$A$13,0)),0)</f>
        <v>190</v>
      </c>
      <c r="J429" s="25" t="n">
        <f aca="false">H429*I429</f>
        <v>2280</v>
      </c>
      <c r="K429" s="25" t="n">
        <f aca="false">IFERROR(INDEX(Products!$D$2:$D$13,MATCH(F429,Products!$A$2:$A$13,0)),0)</f>
        <v>115</v>
      </c>
      <c r="L429" s="25" t="n">
        <f aca="false">H429*K429</f>
        <v>1380</v>
      </c>
      <c r="M429" s="25" t="n">
        <f aca="false">J429-L429</f>
        <v>900</v>
      </c>
    </row>
    <row r="430" customFormat="false" ht="15" hidden="false" customHeight="false" outlineLevel="0" collapsed="false">
      <c r="A430" s="23" t="s">
        <v>514</v>
      </c>
      <c r="B430" s="24" t="n">
        <v>45953</v>
      </c>
      <c r="C430" s="23" t="n">
        <f aca="false">MONTH(B430)</f>
        <v>10</v>
      </c>
      <c r="D430" s="23" t="s">
        <v>19</v>
      </c>
      <c r="E430" s="23" t="s">
        <v>70</v>
      </c>
      <c r="F430" s="23" t="s">
        <v>88</v>
      </c>
      <c r="G430" s="23" t="str">
        <f aca="false">IFERROR(INDEX(Products!$B$2:$B$13,MATCH(F430,Products!$A$2:$A$13,0)),"Unknown")</f>
        <v>Accessories</v>
      </c>
      <c r="H430" s="23" t="n">
        <v>15</v>
      </c>
      <c r="I430" s="25" t="n">
        <f aca="false">IFERROR(INDEX(Products!$C$2:$C$13,MATCH(F430,Products!$A$2:$A$13,0)),0)</f>
        <v>85</v>
      </c>
      <c r="J430" s="25" t="n">
        <f aca="false">H430*I430</f>
        <v>1275</v>
      </c>
      <c r="K430" s="25" t="n">
        <f aca="false">IFERROR(INDEX(Products!$D$2:$D$13,MATCH(F430,Products!$A$2:$A$13,0)),0)</f>
        <v>38</v>
      </c>
      <c r="L430" s="25" t="n">
        <f aca="false">H430*K430</f>
        <v>570</v>
      </c>
      <c r="M430" s="25" t="n">
        <f aca="false">J430-L430</f>
        <v>705</v>
      </c>
    </row>
    <row r="431" customFormat="false" ht="15" hidden="false" customHeight="false" outlineLevel="0" collapsed="false">
      <c r="A431" s="23" t="s">
        <v>515</v>
      </c>
      <c r="B431" s="24" t="n">
        <v>45953</v>
      </c>
      <c r="C431" s="23" t="n">
        <f aca="false">MONTH(B431)</f>
        <v>10</v>
      </c>
      <c r="D431" s="23" t="s">
        <v>23</v>
      </c>
      <c r="E431" s="23" t="s">
        <v>77</v>
      </c>
      <c r="F431" s="23" t="s">
        <v>79</v>
      </c>
      <c r="G431" s="23" t="str">
        <f aca="false">IFERROR(INDEX(Products!$B$2:$B$13,MATCH(F431,Products!$A$2:$A$13,0)),"Unknown")</f>
        <v>Accessories</v>
      </c>
      <c r="H431" s="23" t="n">
        <v>6</v>
      </c>
      <c r="I431" s="25" t="n">
        <f aca="false">IFERROR(INDEX(Products!$C$2:$C$13,MATCH(F431,Products!$A$2:$A$13,0)),0)</f>
        <v>190</v>
      </c>
      <c r="J431" s="25" t="n">
        <f aca="false">H431*I431</f>
        <v>1140</v>
      </c>
      <c r="K431" s="25" t="n">
        <f aca="false">IFERROR(INDEX(Products!$D$2:$D$13,MATCH(F431,Products!$A$2:$A$13,0)),0)</f>
        <v>115</v>
      </c>
      <c r="L431" s="25" t="n">
        <f aca="false">H431*K431</f>
        <v>690</v>
      </c>
      <c r="M431" s="25" t="n">
        <f aca="false">J431-L431</f>
        <v>450</v>
      </c>
    </row>
    <row r="432" customFormat="false" ht="15" hidden="false" customHeight="false" outlineLevel="0" collapsed="false">
      <c r="A432" s="23" t="s">
        <v>516</v>
      </c>
      <c r="B432" s="24" t="n">
        <v>45954</v>
      </c>
      <c r="C432" s="23" t="n">
        <f aca="false">MONTH(B432)</f>
        <v>10</v>
      </c>
      <c r="D432" s="23" t="s">
        <v>21</v>
      </c>
      <c r="E432" s="23" t="s">
        <v>90</v>
      </c>
      <c r="F432" s="23" t="s">
        <v>71</v>
      </c>
      <c r="G432" s="23" t="str">
        <f aca="false">IFERROR(INDEX(Products!$B$2:$B$13,MATCH(F432,Products!$A$2:$A$13,0)),"Unknown")</f>
        <v>Accessories</v>
      </c>
      <c r="H432" s="23" t="n">
        <v>6</v>
      </c>
      <c r="I432" s="25" t="n">
        <f aca="false">IFERROR(INDEX(Products!$C$2:$C$13,MATCH(F432,Products!$A$2:$A$13,0)),0)</f>
        <v>45</v>
      </c>
      <c r="J432" s="25" t="n">
        <f aca="false">H432*I432</f>
        <v>270</v>
      </c>
      <c r="K432" s="25" t="n">
        <f aca="false">IFERROR(INDEX(Products!$D$2:$D$13,MATCH(F432,Products!$A$2:$A$13,0)),0)</f>
        <v>18</v>
      </c>
      <c r="L432" s="25" t="n">
        <f aca="false">H432*K432</f>
        <v>108</v>
      </c>
      <c r="M432" s="25" t="n">
        <f aca="false">J432-L432</f>
        <v>162</v>
      </c>
    </row>
    <row r="433" customFormat="false" ht="15" hidden="false" customHeight="false" outlineLevel="0" collapsed="false">
      <c r="A433" s="23" t="s">
        <v>517</v>
      </c>
      <c r="B433" s="24" t="n">
        <v>45954</v>
      </c>
      <c r="C433" s="23" t="n">
        <f aca="false">MONTH(B433)</f>
        <v>10</v>
      </c>
      <c r="D433" s="23" t="s">
        <v>19</v>
      </c>
      <c r="E433" s="23" t="s">
        <v>70</v>
      </c>
      <c r="F433" s="23" t="s">
        <v>71</v>
      </c>
      <c r="G433" s="23" t="str">
        <f aca="false">IFERROR(INDEX(Products!$B$2:$B$13,MATCH(F433,Products!$A$2:$A$13,0)),"Unknown")</f>
        <v>Accessories</v>
      </c>
      <c r="H433" s="23" t="n">
        <v>3</v>
      </c>
      <c r="I433" s="25" t="n">
        <f aca="false">IFERROR(INDEX(Products!$C$2:$C$13,MATCH(F433,Products!$A$2:$A$13,0)),0)</f>
        <v>45</v>
      </c>
      <c r="J433" s="25" t="n">
        <f aca="false">H433*I433</f>
        <v>135</v>
      </c>
      <c r="K433" s="25" t="n">
        <f aca="false">IFERROR(INDEX(Products!$D$2:$D$13,MATCH(F433,Products!$A$2:$A$13,0)),0)</f>
        <v>18</v>
      </c>
      <c r="L433" s="25" t="n">
        <f aca="false">H433*K433</f>
        <v>54</v>
      </c>
      <c r="M433" s="25" t="n">
        <f aca="false">J433-L433</f>
        <v>81</v>
      </c>
    </row>
    <row r="434" customFormat="false" ht="15" hidden="false" customHeight="false" outlineLevel="0" collapsed="false">
      <c r="A434" s="23" t="s">
        <v>518</v>
      </c>
      <c r="B434" s="24" t="n">
        <v>45955</v>
      </c>
      <c r="C434" s="23" t="n">
        <f aca="false">MONTH(B434)</f>
        <v>10</v>
      </c>
      <c r="D434" s="23" t="s">
        <v>19</v>
      </c>
      <c r="E434" s="23" t="s">
        <v>73</v>
      </c>
      <c r="F434" s="23" t="s">
        <v>104</v>
      </c>
      <c r="G434" s="23" t="str">
        <f aca="false">IFERROR(INDEX(Products!$B$2:$B$13,MATCH(F434,Products!$A$2:$A$13,0)),"Unknown")</f>
        <v>Phones</v>
      </c>
      <c r="H434" s="23" t="n">
        <v>2</v>
      </c>
      <c r="I434" s="25" t="n">
        <f aca="false">IFERROR(INDEX(Products!$C$2:$C$13,MATCH(F434,Products!$A$2:$A$13,0)),0)</f>
        <v>290</v>
      </c>
      <c r="J434" s="25" t="n">
        <f aca="false">H434*I434</f>
        <v>580</v>
      </c>
      <c r="K434" s="25" t="n">
        <f aca="false">IFERROR(INDEX(Products!$D$2:$D$13,MATCH(F434,Products!$A$2:$A$13,0)),0)</f>
        <v>205</v>
      </c>
      <c r="L434" s="25" t="n">
        <f aca="false">H434*K434</f>
        <v>410</v>
      </c>
      <c r="M434" s="25" t="n">
        <f aca="false">J434-L434</f>
        <v>170</v>
      </c>
    </row>
    <row r="435" customFormat="false" ht="15" hidden="false" customHeight="false" outlineLevel="0" collapsed="false">
      <c r="A435" s="23" t="s">
        <v>519</v>
      </c>
      <c r="B435" s="24" t="n">
        <v>45955</v>
      </c>
      <c r="C435" s="23" t="n">
        <f aca="false">MONTH(B435)</f>
        <v>10</v>
      </c>
      <c r="D435" s="23" t="s">
        <v>23</v>
      </c>
      <c r="E435" s="23" t="s">
        <v>85</v>
      </c>
      <c r="F435" s="23" t="s">
        <v>104</v>
      </c>
      <c r="G435" s="23" t="str">
        <f aca="false">IFERROR(INDEX(Products!$B$2:$B$13,MATCH(F435,Products!$A$2:$A$13,0)),"Unknown")</f>
        <v>Phones</v>
      </c>
      <c r="H435" s="23" t="n">
        <v>4</v>
      </c>
      <c r="I435" s="25" t="n">
        <f aca="false">IFERROR(INDEX(Products!$C$2:$C$13,MATCH(F435,Products!$A$2:$A$13,0)),0)</f>
        <v>290</v>
      </c>
      <c r="J435" s="25" t="n">
        <f aca="false">H435*I435</f>
        <v>1160</v>
      </c>
      <c r="K435" s="25" t="n">
        <f aca="false">IFERROR(INDEX(Products!$D$2:$D$13,MATCH(F435,Products!$A$2:$A$13,0)),0)</f>
        <v>205</v>
      </c>
      <c r="L435" s="25" t="n">
        <f aca="false">H435*K435</f>
        <v>820</v>
      </c>
      <c r="M435" s="25" t="n">
        <f aca="false">J435-L435</f>
        <v>340</v>
      </c>
    </row>
    <row r="436" customFormat="false" ht="15" hidden="false" customHeight="false" outlineLevel="0" collapsed="false">
      <c r="A436" s="23" t="s">
        <v>520</v>
      </c>
      <c r="B436" s="24" t="n">
        <v>45956</v>
      </c>
      <c r="C436" s="23" t="n">
        <f aca="false">MONTH(B436)</f>
        <v>10</v>
      </c>
      <c r="D436" s="23" t="s">
        <v>23</v>
      </c>
      <c r="E436" s="23" t="s">
        <v>77</v>
      </c>
      <c r="F436" s="23" t="s">
        <v>94</v>
      </c>
      <c r="G436" s="23" t="str">
        <f aca="false">IFERROR(INDEX(Products!$B$2:$B$13,MATCH(F436,Products!$A$2:$A$13,0)),"Unknown")</f>
        <v>Laptops</v>
      </c>
      <c r="H436" s="23" t="n">
        <v>2</v>
      </c>
      <c r="I436" s="25" t="n">
        <f aca="false">IFERROR(INDEX(Products!$C$2:$C$13,MATCH(F436,Products!$A$2:$A$13,0)),0)</f>
        <v>1350</v>
      </c>
      <c r="J436" s="25" t="n">
        <f aca="false">H436*I436</f>
        <v>2700</v>
      </c>
      <c r="K436" s="25" t="n">
        <f aca="false">IFERROR(INDEX(Products!$D$2:$D$13,MATCH(F436,Products!$A$2:$A$13,0)),0)</f>
        <v>1040</v>
      </c>
      <c r="L436" s="25" t="n">
        <f aca="false">H436*K436</f>
        <v>2080</v>
      </c>
      <c r="M436" s="25" t="n">
        <f aca="false">J436-L436</f>
        <v>620</v>
      </c>
    </row>
    <row r="437" customFormat="false" ht="15" hidden="false" customHeight="false" outlineLevel="0" collapsed="false">
      <c r="A437" s="23" t="s">
        <v>521</v>
      </c>
      <c r="B437" s="24" t="n">
        <v>45957</v>
      </c>
      <c r="C437" s="23" t="n">
        <f aca="false">MONTH(B437)</f>
        <v>10</v>
      </c>
      <c r="D437" s="23" t="s">
        <v>19</v>
      </c>
      <c r="E437" s="23" t="s">
        <v>70</v>
      </c>
      <c r="F437" s="23" t="s">
        <v>74</v>
      </c>
      <c r="G437" s="23" t="str">
        <f aca="false">IFERROR(INDEX(Products!$B$2:$B$13,MATCH(F437,Products!$A$2:$A$13,0)),"Unknown")</f>
        <v>Monitors</v>
      </c>
      <c r="H437" s="23" t="n">
        <v>1</v>
      </c>
      <c r="I437" s="25" t="n">
        <f aca="false">IFERROR(INDEX(Products!$C$2:$C$13,MATCH(F437,Products!$A$2:$A$13,0)),0)</f>
        <v>310</v>
      </c>
      <c r="J437" s="25" t="n">
        <f aca="false">H437*I437</f>
        <v>310</v>
      </c>
      <c r="K437" s="25" t="n">
        <f aca="false">IFERROR(INDEX(Products!$D$2:$D$13,MATCH(F437,Products!$A$2:$A$13,0)),0)</f>
        <v>225</v>
      </c>
      <c r="L437" s="25" t="n">
        <f aca="false">H437*K437</f>
        <v>225</v>
      </c>
      <c r="M437" s="25" t="n">
        <f aca="false">J437-L437</f>
        <v>85</v>
      </c>
    </row>
    <row r="438" customFormat="false" ht="15" hidden="false" customHeight="false" outlineLevel="0" collapsed="false">
      <c r="A438" s="23" t="s">
        <v>522</v>
      </c>
      <c r="B438" s="24" t="n">
        <v>45957</v>
      </c>
      <c r="C438" s="23" t="n">
        <f aca="false">MONTH(B438)</f>
        <v>10</v>
      </c>
      <c r="D438" s="23" t="s">
        <v>17</v>
      </c>
      <c r="E438" s="23" t="s">
        <v>67</v>
      </c>
      <c r="F438" s="23" t="s">
        <v>79</v>
      </c>
      <c r="G438" s="23" t="str">
        <f aca="false">IFERROR(INDEX(Products!$B$2:$B$13,MATCH(F438,Products!$A$2:$A$13,0)),"Unknown")</f>
        <v>Accessories</v>
      </c>
      <c r="H438" s="23" t="n">
        <v>3</v>
      </c>
      <c r="I438" s="25" t="n">
        <f aca="false">IFERROR(INDEX(Products!$C$2:$C$13,MATCH(F438,Products!$A$2:$A$13,0)),0)</f>
        <v>190</v>
      </c>
      <c r="J438" s="25" t="n">
        <f aca="false">H438*I438</f>
        <v>570</v>
      </c>
      <c r="K438" s="25" t="n">
        <f aca="false">IFERROR(INDEX(Products!$D$2:$D$13,MATCH(F438,Products!$A$2:$A$13,0)),0)</f>
        <v>115</v>
      </c>
      <c r="L438" s="25" t="n">
        <f aca="false">H438*K438</f>
        <v>345</v>
      </c>
      <c r="M438" s="25" t="n">
        <f aca="false">J438-L438</f>
        <v>225</v>
      </c>
    </row>
    <row r="439" customFormat="false" ht="15" hidden="false" customHeight="false" outlineLevel="0" collapsed="false">
      <c r="A439" s="23" t="s">
        <v>523</v>
      </c>
      <c r="B439" s="24" t="n">
        <v>45958</v>
      </c>
      <c r="C439" s="23" t="n">
        <f aca="false">MONTH(B439)</f>
        <v>10</v>
      </c>
      <c r="D439" s="23" t="s">
        <v>23</v>
      </c>
      <c r="E439" s="23" t="s">
        <v>85</v>
      </c>
      <c r="F439" s="23" t="s">
        <v>83</v>
      </c>
      <c r="G439" s="23" t="str">
        <f aca="false">IFERROR(INDEX(Products!$B$2:$B$13,MATCH(F439,Products!$A$2:$A$13,0)),"Unknown")</f>
        <v>Phones</v>
      </c>
      <c r="H439" s="23" t="n">
        <v>1</v>
      </c>
      <c r="I439" s="25" t="n">
        <f aca="false">IFERROR(INDEX(Products!$C$2:$C$13,MATCH(F439,Products!$A$2:$A$13,0)),0)</f>
        <v>640</v>
      </c>
      <c r="J439" s="25" t="n">
        <f aca="false">H439*I439</f>
        <v>640</v>
      </c>
      <c r="K439" s="25" t="n">
        <f aca="false">IFERROR(INDEX(Products!$D$2:$D$13,MATCH(F439,Products!$A$2:$A$13,0)),0)</f>
        <v>470</v>
      </c>
      <c r="L439" s="25" t="n">
        <f aca="false">H439*K439</f>
        <v>470</v>
      </c>
      <c r="M439" s="25" t="n">
        <f aca="false">J439-L439</f>
        <v>170</v>
      </c>
    </row>
    <row r="440" customFormat="false" ht="15" hidden="false" customHeight="false" outlineLevel="0" collapsed="false">
      <c r="A440" s="23" t="s">
        <v>524</v>
      </c>
      <c r="B440" s="24" t="n">
        <v>45958</v>
      </c>
      <c r="C440" s="23" t="n">
        <f aca="false">MONTH(B440)</f>
        <v>10</v>
      </c>
      <c r="D440" s="23" t="s">
        <v>23</v>
      </c>
      <c r="E440" s="23" t="s">
        <v>85</v>
      </c>
      <c r="F440" s="23" t="s">
        <v>104</v>
      </c>
      <c r="G440" s="23" t="str">
        <f aca="false">IFERROR(INDEX(Products!$B$2:$B$13,MATCH(F440,Products!$A$2:$A$13,0)),"Unknown")</f>
        <v>Phones</v>
      </c>
      <c r="H440" s="23" t="n">
        <v>1</v>
      </c>
      <c r="I440" s="25" t="n">
        <f aca="false">IFERROR(INDEX(Products!$C$2:$C$13,MATCH(F440,Products!$A$2:$A$13,0)),0)</f>
        <v>290</v>
      </c>
      <c r="J440" s="25" t="n">
        <f aca="false">H440*I440</f>
        <v>290</v>
      </c>
      <c r="K440" s="25" t="n">
        <f aca="false">IFERROR(INDEX(Products!$D$2:$D$13,MATCH(F440,Products!$A$2:$A$13,0)),0)</f>
        <v>205</v>
      </c>
      <c r="L440" s="25" t="n">
        <f aca="false">H440*K440</f>
        <v>205</v>
      </c>
      <c r="M440" s="25" t="n">
        <f aca="false">J440-L440</f>
        <v>85</v>
      </c>
    </row>
    <row r="441" customFormat="false" ht="15" hidden="false" customHeight="false" outlineLevel="0" collapsed="false">
      <c r="A441" s="23" t="s">
        <v>525</v>
      </c>
      <c r="B441" s="24" t="n">
        <v>45962</v>
      </c>
      <c r="C441" s="23" t="n">
        <f aca="false">MONTH(B441)</f>
        <v>11</v>
      </c>
      <c r="D441" s="23" t="s">
        <v>19</v>
      </c>
      <c r="E441" s="23" t="s">
        <v>70</v>
      </c>
      <c r="F441" s="23" t="s">
        <v>74</v>
      </c>
      <c r="G441" s="23" t="str">
        <f aca="false">IFERROR(INDEX(Products!$B$2:$B$13,MATCH(F441,Products!$A$2:$A$13,0)),"Unknown")</f>
        <v>Monitors</v>
      </c>
      <c r="H441" s="23" t="n">
        <v>1</v>
      </c>
      <c r="I441" s="25" t="n">
        <f aca="false">IFERROR(INDEX(Products!$C$2:$C$13,MATCH(F441,Products!$A$2:$A$13,0)),0)</f>
        <v>310</v>
      </c>
      <c r="J441" s="25" t="n">
        <f aca="false">H441*I441</f>
        <v>310</v>
      </c>
      <c r="K441" s="25" t="n">
        <f aca="false">IFERROR(INDEX(Products!$D$2:$D$13,MATCH(F441,Products!$A$2:$A$13,0)),0)</f>
        <v>225</v>
      </c>
      <c r="L441" s="25" t="n">
        <f aca="false">H441*K441</f>
        <v>225</v>
      </c>
      <c r="M441" s="25" t="n">
        <f aca="false">J441-L441</f>
        <v>85</v>
      </c>
    </row>
    <row r="442" customFormat="false" ht="15" hidden="false" customHeight="false" outlineLevel="0" collapsed="false">
      <c r="A442" s="23" t="s">
        <v>526</v>
      </c>
      <c r="B442" s="24" t="n">
        <v>45962</v>
      </c>
      <c r="C442" s="23" t="n">
        <f aca="false">MONTH(B442)</f>
        <v>11</v>
      </c>
      <c r="D442" s="23" t="s">
        <v>21</v>
      </c>
      <c r="E442" s="23" t="s">
        <v>87</v>
      </c>
      <c r="F442" s="23" t="s">
        <v>88</v>
      </c>
      <c r="G442" s="23" t="str">
        <f aca="false">IFERROR(INDEX(Products!$B$2:$B$13,MATCH(F442,Products!$A$2:$A$13,0)),"Unknown")</f>
        <v>Accessories</v>
      </c>
      <c r="H442" s="23" t="n">
        <v>12</v>
      </c>
      <c r="I442" s="25" t="n">
        <f aca="false">IFERROR(INDEX(Products!$C$2:$C$13,MATCH(F442,Products!$A$2:$A$13,0)),0)</f>
        <v>85</v>
      </c>
      <c r="J442" s="25" t="n">
        <f aca="false">H442*I442</f>
        <v>1020</v>
      </c>
      <c r="K442" s="25" t="n">
        <f aca="false">IFERROR(INDEX(Products!$D$2:$D$13,MATCH(F442,Products!$A$2:$A$13,0)),0)</f>
        <v>38</v>
      </c>
      <c r="L442" s="25" t="n">
        <f aca="false">H442*K442</f>
        <v>456</v>
      </c>
      <c r="M442" s="25" t="n">
        <f aca="false">J442-L442</f>
        <v>564</v>
      </c>
    </row>
    <row r="443" customFormat="false" ht="15" hidden="false" customHeight="false" outlineLevel="0" collapsed="false">
      <c r="A443" s="23" t="s">
        <v>527</v>
      </c>
      <c r="B443" s="24" t="n">
        <v>45962</v>
      </c>
      <c r="C443" s="23" t="n">
        <f aca="false">MONTH(B443)</f>
        <v>11</v>
      </c>
      <c r="D443" s="23" t="s">
        <v>23</v>
      </c>
      <c r="E443" s="23" t="s">
        <v>77</v>
      </c>
      <c r="F443" s="23" t="s">
        <v>71</v>
      </c>
      <c r="G443" s="23" t="str">
        <f aca="false">IFERROR(INDEX(Products!$B$2:$B$13,MATCH(F443,Products!$A$2:$A$13,0)),"Unknown")</f>
        <v>Accessories</v>
      </c>
      <c r="H443" s="23" t="n">
        <v>3</v>
      </c>
      <c r="I443" s="25" t="n">
        <f aca="false">IFERROR(INDEX(Products!$C$2:$C$13,MATCH(F443,Products!$A$2:$A$13,0)),0)</f>
        <v>45</v>
      </c>
      <c r="J443" s="25" t="n">
        <f aca="false">H443*I443</f>
        <v>135</v>
      </c>
      <c r="K443" s="25" t="n">
        <f aca="false">IFERROR(INDEX(Products!$D$2:$D$13,MATCH(F443,Products!$A$2:$A$13,0)),0)</f>
        <v>18</v>
      </c>
      <c r="L443" s="25" t="n">
        <f aca="false">H443*K443</f>
        <v>54</v>
      </c>
      <c r="M443" s="25" t="n">
        <f aca="false">J443-L443</f>
        <v>81</v>
      </c>
    </row>
    <row r="444" customFormat="false" ht="15" hidden="false" customHeight="false" outlineLevel="0" collapsed="false">
      <c r="A444" s="23" t="s">
        <v>528</v>
      </c>
      <c r="B444" s="24" t="n">
        <v>45962</v>
      </c>
      <c r="C444" s="23" t="n">
        <f aca="false">MONTH(B444)</f>
        <v>11</v>
      </c>
      <c r="D444" s="23" t="s">
        <v>17</v>
      </c>
      <c r="E444" s="23" t="s">
        <v>116</v>
      </c>
      <c r="F444" s="23" t="s">
        <v>104</v>
      </c>
      <c r="G444" s="23" t="str">
        <f aca="false">IFERROR(INDEX(Products!$B$2:$B$13,MATCH(F444,Products!$A$2:$A$13,0)),"Unknown")</f>
        <v>Phones</v>
      </c>
      <c r="H444" s="23" t="n">
        <v>1</v>
      </c>
      <c r="I444" s="25" t="n">
        <f aca="false">IFERROR(INDEX(Products!$C$2:$C$13,MATCH(F444,Products!$A$2:$A$13,0)),0)</f>
        <v>290</v>
      </c>
      <c r="J444" s="25" t="n">
        <f aca="false">H444*I444</f>
        <v>290</v>
      </c>
      <c r="K444" s="25" t="n">
        <f aca="false">IFERROR(INDEX(Products!$D$2:$D$13,MATCH(F444,Products!$A$2:$A$13,0)),0)</f>
        <v>205</v>
      </c>
      <c r="L444" s="25" t="n">
        <f aca="false">H444*K444</f>
        <v>205</v>
      </c>
      <c r="M444" s="25" t="n">
        <f aca="false">J444-L444</f>
        <v>85</v>
      </c>
    </row>
    <row r="445" customFormat="false" ht="15" hidden="false" customHeight="false" outlineLevel="0" collapsed="false">
      <c r="A445" s="23" t="s">
        <v>529</v>
      </c>
      <c r="B445" s="24" t="n">
        <v>45963</v>
      </c>
      <c r="C445" s="23" t="n">
        <f aca="false">MONTH(B445)</f>
        <v>11</v>
      </c>
      <c r="D445" s="23" t="s">
        <v>23</v>
      </c>
      <c r="E445" s="23" t="s">
        <v>85</v>
      </c>
      <c r="F445" s="23" t="s">
        <v>98</v>
      </c>
      <c r="G445" s="23" t="str">
        <f aca="false">IFERROR(INDEX(Products!$B$2:$B$13,MATCH(F445,Products!$A$2:$A$13,0)),"Unknown")</f>
        <v>Monitors</v>
      </c>
      <c r="H445" s="23" t="n">
        <v>1</v>
      </c>
      <c r="I445" s="25" t="n">
        <f aca="false">IFERROR(INDEX(Products!$C$2:$C$13,MATCH(F445,Products!$A$2:$A$13,0)),0)</f>
        <v>480</v>
      </c>
      <c r="J445" s="25" t="n">
        <f aca="false">H445*I445</f>
        <v>480</v>
      </c>
      <c r="K445" s="25" t="n">
        <f aca="false">IFERROR(INDEX(Products!$D$2:$D$13,MATCH(F445,Products!$A$2:$A$13,0)),0)</f>
        <v>350</v>
      </c>
      <c r="L445" s="25" t="n">
        <f aca="false">H445*K445</f>
        <v>350</v>
      </c>
      <c r="M445" s="25" t="n">
        <f aca="false">J445-L445</f>
        <v>130</v>
      </c>
    </row>
    <row r="446" customFormat="false" ht="15" hidden="false" customHeight="false" outlineLevel="0" collapsed="false">
      <c r="A446" s="23" t="s">
        <v>530</v>
      </c>
      <c r="B446" s="24" t="n">
        <v>45963</v>
      </c>
      <c r="C446" s="23" t="n">
        <f aca="false">MONTH(B446)</f>
        <v>11</v>
      </c>
      <c r="D446" s="23" t="s">
        <v>23</v>
      </c>
      <c r="E446" s="23" t="s">
        <v>77</v>
      </c>
      <c r="F446" s="23" t="s">
        <v>88</v>
      </c>
      <c r="G446" s="23" t="str">
        <f aca="false">IFERROR(INDEX(Products!$B$2:$B$13,MATCH(F446,Products!$A$2:$A$13,0)),"Unknown")</f>
        <v>Accessories</v>
      </c>
      <c r="H446" s="23" t="n">
        <v>3</v>
      </c>
      <c r="I446" s="25" t="n">
        <f aca="false">IFERROR(INDEX(Products!$C$2:$C$13,MATCH(F446,Products!$A$2:$A$13,0)),0)</f>
        <v>85</v>
      </c>
      <c r="J446" s="25" t="n">
        <f aca="false">H446*I446</f>
        <v>255</v>
      </c>
      <c r="K446" s="25" t="n">
        <f aca="false">IFERROR(INDEX(Products!$D$2:$D$13,MATCH(F446,Products!$A$2:$A$13,0)),0)</f>
        <v>38</v>
      </c>
      <c r="L446" s="25" t="n">
        <f aca="false">H446*K446</f>
        <v>114</v>
      </c>
      <c r="M446" s="25" t="n">
        <f aca="false">J446-L446</f>
        <v>141</v>
      </c>
    </row>
    <row r="447" customFormat="false" ht="15" hidden="false" customHeight="false" outlineLevel="0" collapsed="false">
      <c r="A447" s="23" t="s">
        <v>531</v>
      </c>
      <c r="B447" s="24" t="n">
        <v>45963</v>
      </c>
      <c r="C447" s="23" t="n">
        <f aca="false">MONTH(B447)</f>
        <v>11</v>
      </c>
      <c r="D447" s="23" t="s">
        <v>17</v>
      </c>
      <c r="E447" s="23" t="s">
        <v>67</v>
      </c>
      <c r="F447" s="23" t="s">
        <v>88</v>
      </c>
      <c r="G447" s="23" t="str">
        <f aca="false">IFERROR(INDEX(Products!$B$2:$B$13,MATCH(F447,Products!$A$2:$A$13,0)),"Unknown")</f>
        <v>Accessories</v>
      </c>
      <c r="H447" s="23" t="n">
        <v>6</v>
      </c>
      <c r="I447" s="25" t="n">
        <f aca="false">IFERROR(INDEX(Products!$C$2:$C$13,MATCH(F447,Products!$A$2:$A$13,0)),0)</f>
        <v>85</v>
      </c>
      <c r="J447" s="25" t="n">
        <f aca="false">H447*I447</f>
        <v>510</v>
      </c>
      <c r="K447" s="25" t="n">
        <f aca="false">IFERROR(INDEX(Products!$D$2:$D$13,MATCH(F447,Products!$A$2:$A$13,0)),0)</f>
        <v>38</v>
      </c>
      <c r="L447" s="25" t="n">
        <f aca="false">H447*K447</f>
        <v>228</v>
      </c>
      <c r="M447" s="25" t="n">
        <f aca="false">J447-L447</f>
        <v>282</v>
      </c>
    </row>
    <row r="448" customFormat="false" ht="15" hidden="false" customHeight="false" outlineLevel="0" collapsed="false">
      <c r="A448" s="23" t="s">
        <v>532</v>
      </c>
      <c r="B448" s="24" t="n">
        <v>45963</v>
      </c>
      <c r="C448" s="23" t="n">
        <f aca="false">MONTH(B448)</f>
        <v>11</v>
      </c>
      <c r="D448" s="23" t="s">
        <v>17</v>
      </c>
      <c r="E448" s="23" t="s">
        <v>116</v>
      </c>
      <c r="F448" s="23" t="s">
        <v>91</v>
      </c>
      <c r="G448" s="23" t="str">
        <f aca="false">IFERROR(INDEX(Products!$B$2:$B$13,MATCH(F448,Products!$A$2:$A$13,0)),"Unknown")</f>
        <v>Tablets</v>
      </c>
      <c r="H448" s="23" t="n">
        <v>1</v>
      </c>
      <c r="I448" s="25" t="n">
        <f aca="false">IFERROR(INDEX(Products!$C$2:$C$13,MATCH(F448,Products!$A$2:$A$13,0)),0)</f>
        <v>420</v>
      </c>
      <c r="J448" s="25" t="n">
        <f aca="false">H448*I448</f>
        <v>420</v>
      </c>
      <c r="K448" s="25" t="n">
        <f aca="false">IFERROR(INDEX(Products!$D$2:$D$13,MATCH(F448,Products!$A$2:$A$13,0)),0)</f>
        <v>300</v>
      </c>
      <c r="L448" s="25" t="n">
        <f aca="false">H448*K448</f>
        <v>300</v>
      </c>
      <c r="M448" s="25" t="n">
        <f aca="false">J448-L448</f>
        <v>120</v>
      </c>
    </row>
    <row r="449" customFormat="false" ht="15" hidden="false" customHeight="false" outlineLevel="0" collapsed="false">
      <c r="A449" s="23" t="s">
        <v>533</v>
      </c>
      <c r="B449" s="24" t="n">
        <v>45965</v>
      </c>
      <c r="C449" s="23" t="n">
        <f aca="false">MONTH(B449)</f>
        <v>11</v>
      </c>
      <c r="D449" s="23" t="s">
        <v>23</v>
      </c>
      <c r="E449" s="23" t="s">
        <v>77</v>
      </c>
      <c r="F449" s="23" t="s">
        <v>79</v>
      </c>
      <c r="G449" s="23" t="str">
        <f aca="false">IFERROR(INDEX(Products!$B$2:$B$13,MATCH(F449,Products!$A$2:$A$13,0)),"Unknown")</f>
        <v>Accessories</v>
      </c>
      <c r="H449" s="23" t="n">
        <v>9</v>
      </c>
      <c r="I449" s="25" t="n">
        <f aca="false">IFERROR(INDEX(Products!$C$2:$C$13,MATCH(F449,Products!$A$2:$A$13,0)),0)</f>
        <v>190</v>
      </c>
      <c r="J449" s="25" t="n">
        <f aca="false">H449*I449</f>
        <v>1710</v>
      </c>
      <c r="K449" s="25" t="n">
        <f aca="false">IFERROR(INDEX(Products!$D$2:$D$13,MATCH(F449,Products!$A$2:$A$13,0)),0)</f>
        <v>115</v>
      </c>
      <c r="L449" s="25" t="n">
        <f aca="false">H449*K449</f>
        <v>1035</v>
      </c>
      <c r="M449" s="25" t="n">
        <f aca="false">J449-L449</f>
        <v>675</v>
      </c>
    </row>
    <row r="450" customFormat="false" ht="15" hidden="false" customHeight="false" outlineLevel="0" collapsed="false">
      <c r="A450" s="23" t="s">
        <v>534</v>
      </c>
      <c r="B450" s="24" t="n">
        <v>45965</v>
      </c>
      <c r="C450" s="23" t="n">
        <f aca="false">MONTH(B450)</f>
        <v>11</v>
      </c>
      <c r="D450" s="23" t="s">
        <v>19</v>
      </c>
      <c r="E450" s="23" t="s">
        <v>70</v>
      </c>
      <c r="F450" s="23" t="s">
        <v>83</v>
      </c>
      <c r="G450" s="23" t="str">
        <f aca="false">IFERROR(INDEX(Products!$B$2:$B$13,MATCH(F450,Products!$A$2:$A$13,0)),"Unknown")</f>
        <v>Phones</v>
      </c>
      <c r="H450" s="23" t="n">
        <v>2</v>
      </c>
      <c r="I450" s="25" t="n">
        <f aca="false">IFERROR(INDEX(Products!$C$2:$C$13,MATCH(F450,Products!$A$2:$A$13,0)),0)</f>
        <v>640</v>
      </c>
      <c r="J450" s="25" t="n">
        <f aca="false">H450*I450</f>
        <v>1280</v>
      </c>
      <c r="K450" s="25" t="n">
        <f aca="false">IFERROR(INDEX(Products!$D$2:$D$13,MATCH(F450,Products!$A$2:$A$13,0)),0)</f>
        <v>470</v>
      </c>
      <c r="L450" s="25" t="n">
        <f aca="false">H450*K450</f>
        <v>940</v>
      </c>
      <c r="M450" s="25" t="n">
        <f aca="false">J450-L450</f>
        <v>340</v>
      </c>
    </row>
    <row r="451" customFormat="false" ht="15" hidden="false" customHeight="false" outlineLevel="0" collapsed="false">
      <c r="A451" s="23" t="s">
        <v>535</v>
      </c>
      <c r="B451" s="24" t="n">
        <v>45965</v>
      </c>
      <c r="C451" s="23" t="n">
        <f aca="false">MONTH(B451)</f>
        <v>11</v>
      </c>
      <c r="D451" s="23" t="s">
        <v>17</v>
      </c>
      <c r="E451" s="23" t="s">
        <v>116</v>
      </c>
      <c r="F451" s="23" t="s">
        <v>81</v>
      </c>
      <c r="G451" s="23" t="str">
        <f aca="false">IFERROR(INDEX(Products!$B$2:$B$13,MATCH(F451,Products!$A$2:$A$13,0)),"Unknown")</f>
        <v>Laptops</v>
      </c>
      <c r="H451" s="23" t="n">
        <v>2</v>
      </c>
      <c r="I451" s="25" t="n">
        <f aca="false">IFERROR(INDEX(Products!$C$2:$C$13,MATCH(F451,Products!$A$2:$A$13,0)),0)</f>
        <v>950</v>
      </c>
      <c r="J451" s="25" t="n">
        <f aca="false">H451*I451</f>
        <v>1900</v>
      </c>
      <c r="K451" s="25" t="n">
        <f aca="false">IFERROR(INDEX(Products!$D$2:$D$13,MATCH(F451,Products!$A$2:$A$13,0)),0)</f>
        <v>720</v>
      </c>
      <c r="L451" s="25" t="n">
        <f aca="false">H451*K451</f>
        <v>1440</v>
      </c>
      <c r="M451" s="25" t="n">
        <f aca="false">J451-L451</f>
        <v>460</v>
      </c>
    </row>
    <row r="452" customFormat="false" ht="15" hidden="false" customHeight="false" outlineLevel="0" collapsed="false">
      <c r="A452" s="23" t="s">
        <v>536</v>
      </c>
      <c r="B452" s="24" t="n">
        <v>45965</v>
      </c>
      <c r="C452" s="23" t="n">
        <f aca="false">MONTH(B452)</f>
        <v>11</v>
      </c>
      <c r="D452" s="23" t="s">
        <v>19</v>
      </c>
      <c r="E452" s="23" t="s">
        <v>73</v>
      </c>
      <c r="F452" s="23" t="s">
        <v>88</v>
      </c>
      <c r="G452" s="23" t="str">
        <f aca="false">IFERROR(INDEX(Products!$B$2:$B$13,MATCH(F452,Products!$A$2:$A$13,0)),"Unknown")</f>
        <v>Accessories</v>
      </c>
      <c r="H452" s="23" t="n">
        <v>3</v>
      </c>
      <c r="I452" s="25" t="n">
        <f aca="false">IFERROR(INDEX(Products!$C$2:$C$13,MATCH(F452,Products!$A$2:$A$13,0)),0)</f>
        <v>85</v>
      </c>
      <c r="J452" s="25" t="n">
        <f aca="false">H452*I452</f>
        <v>255</v>
      </c>
      <c r="K452" s="25" t="n">
        <f aca="false">IFERROR(INDEX(Products!$D$2:$D$13,MATCH(F452,Products!$A$2:$A$13,0)),0)</f>
        <v>38</v>
      </c>
      <c r="L452" s="25" t="n">
        <f aca="false">H452*K452</f>
        <v>114</v>
      </c>
      <c r="M452" s="25" t="n">
        <f aca="false">J452-L452</f>
        <v>141</v>
      </c>
    </row>
    <row r="453" customFormat="false" ht="15" hidden="false" customHeight="false" outlineLevel="0" collapsed="false">
      <c r="A453" s="23" t="s">
        <v>537</v>
      </c>
      <c r="B453" s="24" t="n">
        <v>45966</v>
      </c>
      <c r="C453" s="23" t="n">
        <f aca="false">MONTH(B453)</f>
        <v>11</v>
      </c>
      <c r="D453" s="23" t="s">
        <v>19</v>
      </c>
      <c r="E453" s="23" t="s">
        <v>73</v>
      </c>
      <c r="F453" s="23" t="s">
        <v>104</v>
      </c>
      <c r="G453" s="23" t="str">
        <f aca="false">IFERROR(INDEX(Products!$B$2:$B$13,MATCH(F453,Products!$A$2:$A$13,0)),"Unknown")</f>
        <v>Phones</v>
      </c>
      <c r="H453" s="23" t="n">
        <v>4</v>
      </c>
      <c r="I453" s="25" t="n">
        <f aca="false">IFERROR(INDEX(Products!$C$2:$C$13,MATCH(F453,Products!$A$2:$A$13,0)),0)</f>
        <v>290</v>
      </c>
      <c r="J453" s="25" t="n">
        <f aca="false">H453*I453</f>
        <v>1160</v>
      </c>
      <c r="K453" s="25" t="n">
        <f aca="false">IFERROR(INDEX(Products!$D$2:$D$13,MATCH(F453,Products!$A$2:$A$13,0)),0)</f>
        <v>205</v>
      </c>
      <c r="L453" s="25" t="n">
        <f aca="false">H453*K453</f>
        <v>820</v>
      </c>
      <c r="M453" s="25" t="n">
        <f aca="false">J453-L453</f>
        <v>340</v>
      </c>
    </row>
    <row r="454" customFormat="false" ht="15" hidden="false" customHeight="false" outlineLevel="0" collapsed="false">
      <c r="A454" s="23" t="s">
        <v>538</v>
      </c>
      <c r="B454" s="24" t="n">
        <v>45966</v>
      </c>
      <c r="C454" s="23" t="n">
        <f aca="false">MONTH(B454)</f>
        <v>11</v>
      </c>
      <c r="D454" s="23" t="s">
        <v>23</v>
      </c>
      <c r="E454" s="23" t="s">
        <v>77</v>
      </c>
      <c r="F454" s="23" t="s">
        <v>94</v>
      </c>
      <c r="G454" s="23" t="str">
        <f aca="false">IFERROR(INDEX(Products!$B$2:$B$13,MATCH(F454,Products!$A$2:$A$13,0)),"Unknown")</f>
        <v>Laptops</v>
      </c>
      <c r="H454" s="23" t="n">
        <v>1</v>
      </c>
      <c r="I454" s="25" t="n">
        <f aca="false">IFERROR(INDEX(Products!$C$2:$C$13,MATCH(F454,Products!$A$2:$A$13,0)),0)</f>
        <v>1350</v>
      </c>
      <c r="J454" s="25" t="n">
        <f aca="false">H454*I454</f>
        <v>1350</v>
      </c>
      <c r="K454" s="25" t="n">
        <f aca="false">IFERROR(INDEX(Products!$D$2:$D$13,MATCH(F454,Products!$A$2:$A$13,0)),0)</f>
        <v>1040</v>
      </c>
      <c r="L454" s="25" t="n">
        <f aca="false">H454*K454</f>
        <v>1040</v>
      </c>
      <c r="M454" s="25" t="n">
        <f aca="false">J454-L454</f>
        <v>310</v>
      </c>
    </row>
    <row r="455" customFormat="false" ht="15" hidden="false" customHeight="false" outlineLevel="0" collapsed="false">
      <c r="A455" s="23" t="s">
        <v>539</v>
      </c>
      <c r="B455" s="24" t="n">
        <v>45967</v>
      </c>
      <c r="C455" s="23" t="n">
        <f aca="false">MONTH(B455)</f>
        <v>11</v>
      </c>
      <c r="D455" s="23" t="s">
        <v>21</v>
      </c>
      <c r="E455" s="23" t="s">
        <v>90</v>
      </c>
      <c r="F455" s="23" t="s">
        <v>81</v>
      </c>
      <c r="G455" s="23" t="str">
        <f aca="false">IFERROR(INDEX(Products!$B$2:$B$13,MATCH(F455,Products!$A$2:$A$13,0)),"Unknown")</f>
        <v>Laptops</v>
      </c>
      <c r="H455" s="23" t="n">
        <v>2</v>
      </c>
      <c r="I455" s="25" t="n">
        <f aca="false">IFERROR(INDEX(Products!$C$2:$C$13,MATCH(F455,Products!$A$2:$A$13,0)),0)</f>
        <v>950</v>
      </c>
      <c r="J455" s="25" t="n">
        <f aca="false">H455*I455</f>
        <v>1900</v>
      </c>
      <c r="K455" s="25" t="n">
        <f aca="false">IFERROR(INDEX(Products!$D$2:$D$13,MATCH(F455,Products!$A$2:$A$13,0)),0)</f>
        <v>720</v>
      </c>
      <c r="L455" s="25" t="n">
        <f aca="false">H455*K455</f>
        <v>1440</v>
      </c>
      <c r="M455" s="25" t="n">
        <f aca="false">J455-L455</f>
        <v>460</v>
      </c>
    </row>
    <row r="456" customFormat="false" ht="15" hidden="false" customHeight="false" outlineLevel="0" collapsed="false">
      <c r="A456" s="23" t="s">
        <v>540</v>
      </c>
      <c r="B456" s="24" t="n">
        <v>45967</v>
      </c>
      <c r="C456" s="23" t="n">
        <f aca="false">MONTH(B456)</f>
        <v>11</v>
      </c>
      <c r="D456" s="23" t="s">
        <v>23</v>
      </c>
      <c r="E456" s="23" t="s">
        <v>77</v>
      </c>
      <c r="F456" s="23" t="s">
        <v>68</v>
      </c>
      <c r="G456" s="23" t="str">
        <f aca="false">IFERROR(INDEX(Products!$B$2:$B$13,MATCH(F456,Products!$A$2:$A$13,0)),"Unknown")</f>
        <v>Laptops</v>
      </c>
      <c r="H456" s="23" t="n">
        <v>2</v>
      </c>
      <c r="I456" s="25" t="n">
        <f aca="false">IFERROR(INDEX(Products!$C$2:$C$13,MATCH(F456,Products!$A$2:$A$13,0)),0)</f>
        <v>780</v>
      </c>
      <c r="J456" s="25" t="n">
        <f aca="false">H456*I456</f>
        <v>1560</v>
      </c>
      <c r="K456" s="25" t="n">
        <f aca="false">IFERROR(INDEX(Products!$D$2:$D$13,MATCH(F456,Products!$A$2:$A$13,0)),0)</f>
        <v>590</v>
      </c>
      <c r="L456" s="25" t="n">
        <f aca="false">H456*K456</f>
        <v>1180</v>
      </c>
      <c r="M456" s="25" t="n">
        <f aca="false">J456-L456</f>
        <v>380</v>
      </c>
    </row>
    <row r="457" customFormat="false" ht="15" hidden="false" customHeight="false" outlineLevel="0" collapsed="false">
      <c r="A457" s="23" t="s">
        <v>541</v>
      </c>
      <c r="B457" s="24" t="n">
        <v>45968</v>
      </c>
      <c r="C457" s="23" t="n">
        <f aca="false">MONTH(B457)</f>
        <v>11</v>
      </c>
      <c r="D457" s="23" t="s">
        <v>19</v>
      </c>
      <c r="E457" s="23" t="s">
        <v>70</v>
      </c>
      <c r="F457" s="23" t="s">
        <v>96</v>
      </c>
      <c r="G457" s="23" t="str">
        <f aca="false">IFERROR(INDEX(Products!$B$2:$B$13,MATCH(F457,Products!$A$2:$A$13,0)),"Unknown")</f>
        <v>Tablets</v>
      </c>
      <c r="H457" s="23" t="n">
        <v>3</v>
      </c>
      <c r="I457" s="25" t="n">
        <f aca="false">IFERROR(INDEX(Products!$C$2:$C$13,MATCH(F457,Products!$A$2:$A$13,0)),0)</f>
        <v>260</v>
      </c>
      <c r="J457" s="25" t="n">
        <f aca="false">H457*I457</f>
        <v>780</v>
      </c>
      <c r="K457" s="25" t="n">
        <f aca="false">IFERROR(INDEX(Products!$D$2:$D$13,MATCH(F457,Products!$A$2:$A$13,0)),0)</f>
        <v>180</v>
      </c>
      <c r="L457" s="25" t="n">
        <f aca="false">H457*K457</f>
        <v>540</v>
      </c>
      <c r="M457" s="25" t="n">
        <f aca="false">J457-L457</f>
        <v>240</v>
      </c>
    </row>
    <row r="458" customFormat="false" ht="15" hidden="false" customHeight="false" outlineLevel="0" collapsed="false">
      <c r="A458" s="23" t="s">
        <v>542</v>
      </c>
      <c r="B458" s="24" t="n">
        <v>45969</v>
      </c>
      <c r="C458" s="23" t="n">
        <f aca="false">MONTH(B458)</f>
        <v>11</v>
      </c>
      <c r="D458" s="23" t="s">
        <v>21</v>
      </c>
      <c r="E458" s="23" t="s">
        <v>87</v>
      </c>
      <c r="F458" s="23" t="s">
        <v>83</v>
      </c>
      <c r="G458" s="23" t="str">
        <f aca="false">IFERROR(INDEX(Products!$B$2:$B$13,MATCH(F458,Products!$A$2:$A$13,0)),"Unknown")</f>
        <v>Phones</v>
      </c>
      <c r="H458" s="23" t="n">
        <v>1</v>
      </c>
      <c r="I458" s="25" t="n">
        <f aca="false">IFERROR(INDEX(Products!$C$2:$C$13,MATCH(F458,Products!$A$2:$A$13,0)),0)</f>
        <v>640</v>
      </c>
      <c r="J458" s="25" t="n">
        <f aca="false">H458*I458</f>
        <v>640</v>
      </c>
      <c r="K458" s="25" t="n">
        <f aca="false">IFERROR(INDEX(Products!$D$2:$D$13,MATCH(F458,Products!$A$2:$A$13,0)),0)</f>
        <v>470</v>
      </c>
      <c r="L458" s="25" t="n">
        <f aca="false">H458*K458</f>
        <v>470</v>
      </c>
      <c r="M458" s="25" t="n">
        <f aca="false">J458-L458</f>
        <v>170</v>
      </c>
    </row>
    <row r="459" customFormat="false" ht="15" hidden="false" customHeight="false" outlineLevel="0" collapsed="false">
      <c r="A459" s="23" t="s">
        <v>543</v>
      </c>
      <c r="B459" s="24" t="n">
        <v>45969</v>
      </c>
      <c r="C459" s="23" t="n">
        <f aca="false">MONTH(B459)</f>
        <v>11</v>
      </c>
      <c r="D459" s="23" t="s">
        <v>19</v>
      </c>
      <c r="E459" s="23" t="s">
        <v>70</v>
      </c>
      <c r="F459" s="23" t="s">
        <v>104</v>
      </c>
      <c r="G459" s="23" t="str">
        <f aca="false">IFERROR(INDEX(Products!$B$2:$B$13,MATCH(F459,Products!$A$2:$A$13,0)),"Unknown")</f>
        <v>Phones</v>
      </c>
      <c r="H459" s="23" t="n">
        <v>2</v>
      </c>
      <c r="I459" s="25" t="n">
        <f aca="false">IFERROR(INDEX(Products!$C$2:$C$13,MATCH(F459,Products!$A$2:$A$13,0)),0)</f>
        <v>290</v>
      </c>
      <c r="J459" s="25" t="n">
        <f aca="false">H459*I459</f>
        <v>580</v>
      </c>
      <c r="K459" s="25" t="n">
        <f aca="false">IFERROR(INDEX(Products!$D$2:$D$13,MATCH(F459,Products!$A$2:$A$13,0)),0)</f>
        <v>205</v>
      </c>
      <c r="L459" s="25" t="n">
        <f aca="false">H459*K459</f>
        <v>410</v>
      </c>
      <c r="M459" s="25" t="n">
        <f aca="false">J459-L459</f>
        <v>170</v>
      </c>
    </row>
    <row r="460" customFormat="false" ht="15" hidden="false" customHeight="false" outlineLevel="0" collapsed="false">
      <c r="A460" s="23" t="s">
        <v>544</v>
      </c>
      <c r="B460" s="24" t="n">
        <v>45969</v>
      </c>
      <c r="C460" s="23" t="n">
        <f aca="false">MONTH(B460)</f>
        <v>11</v>
      </c>
      <c r="D460" s="23" t="s">
        <v>21</v>
      </c>
      <c r="E460" s="23" t="s">
        <v>87</v>
      </c>
      <c r="F460" s="23" t="s">
        <v>88</v>
      </c>
      <c r="G460" s="23" t="str">
        <f aca="false">IFERROR(INDEX(Products!$B$2:$B$13,MATCH(F460,Products!$A$2:$A$13,0)),"Unknown")</f>
        <v>Accessories</v>
      </c>
      <c r="H460" s="23" t="n">
        <v>12</v>
      </c>
      <c r="I460" s="25" t="n">
        <f aca="false">IFERROR(INDEX(Products!$C$2:$C$13,MATCH(F460,Products!$A$2:$A$13,0)),0)</f>
        <v>85</v>
      </c>
      <c r="J460" s="25" t="n">
        <f aca="false">H460*I460</f>
        <v>1020</v>
      </c>
      <c r="K460" s="25" t="n">
        <f aca="false">IFERROR(INDEX(Products!$D$2:$D$13,MATCH(F460,Products!$A$2:$A$13,0)),0)</f>
        <v>38</v>
      </c>
      <c r="L460" s="25" t="n">
        <f aca="false">H460*K460</f>
        <v>456</v>
      </c>
      <c r="M460" s="25" t="n">
        <f aca="false">J460-L460</f>
        <v>564</v>
      </c>
    </row>
    <row r="461" customFormat="false" ht="15" hidden="false" customHeight="false" outlineLevel="0" collapsed="false">
      <c r="A461" s="23" t="s">
        <v>545</v>
      </c>
      <c r="B461" s="24" t="n">
        <v>45970</v>
      </c>
      <c r="C461" s="23" t="n">
        <f aca="false">MONTH(B461)</f>
        <v>11</v>
      </c>
      <c r="D461" s="23" t="s">
        <v>23</v>
      </c>
      <c r="E461" s="23" t="s">
        <v>77</v>
      </c>
      <c r="F461" s="23" t="s">
        <v>88</v>
      </c>
      <c r="G461" s="23" t="str">
        <f aca="false">IFERROR(INDEX(Products!$B$2:$B$13,MATCH(F461,Products!$A$2:$A$13,0)),"Unknown")</f>
        <v>Accessories</v>
      </c>
      <c r="H461" s="23" t="n">
        <v>3</v>
      </c>
      <c r="I461" s="25" t="n">
        <f aca="false">IFERROR(INDEX(Products!$C$2:$C$13,MATCH(F461,Products!$A$2:$A$13,0)),0)</f>
        <v>85</v>
      </c>
      <c r="J461" s="25" t="n">
        <f aca="false">H461*I461</f>
        <v>255</v>
      </c>
      <c r="K461" s="25" t="n">
        <f aca="false">IFERROR(INDEX(Products!$D$2:$D$13,MATCH(F461,Products!$A$2:$A$13,0)),0)</f>
        <v>38</v>
      </c>
      <c r="L461" s="25" t="n">
        <f aca="false">H461*K461</f>
        <v>114</v>
      </c>
      <c r="M461" s="25" t="n">
        <f aca="false">J461-L461</f>
        <v>141</v>
      </c>
    </row>
    <row r="462" customFormat="false" ht="15" hidden="false" customHeight="false" outlineLevel="0" collapsed="false">
      <c r="A462" s="23" t="s">
        <v>546</v>
      </c>
      <c r="B462" s="24" t="n">
        <v>45970</v>
      </c>
      <c r="C462" s="23" t="n">
        <f aca="false">MONTH(B462)</f>
        <v>11</v>
      </c>
      <c r="D462" s="23" t="s">
        <v>21</v>
      </c>
      <c r="E462" s="23" t="s">
        <v>87</v>
      </c>
      <c r="F462" s="23" t="s">
        <v>96</v>
      </c>
      <c r="G462" s="23" t="str">
        <f aca="false">IFERROR(INDEX(Products!$B$2:$B$13,MATCH(F462,Products!$A$2:$A$13,0)),"Unknown")</f>
        <v>Tablets</v>
      </c>
      <c r="H462" s="23" t="n">
        <v>5</v>
      </c>
      <c r="I462" s="25" t="n">
        <f aca="false">IFERROR(INDEX(Products!$C$2:$C$13,MATCH(F462,Products!$A$2:$A$13,0)),0)</f>
        <v>260</v>
      </c>
      <c r="J462" s="25" t="n">
        <f aca="false">H462*I462</f>
        <v>1300</v>
      </c>
      <c r="K462" s="25" t="n">
        <f aca="false">IFERROR(INDEX(Products!$D$2:$D$13,MATCH(F462,Products!$A$2:$A$13,0)),0)</f>
        <v>180</v>
      </c>
      <c r="L462" s="25" t="n">
        <f aca="false">H462*K462</f>
        <v>900</v>
      </c>
      <c r="M462" s="25" t="n">
        <f aca="false">J462-L462</f>
        <v>400</v>
      </c>
    </row>
    <row r="463" customFormat="false" ht="15" hidden="false" customHeight="false" outlineLevel="0" collapsed="false">
      <c r="A463" s="23" t="s">
        <v>547</v>
      </c>
      <c r="B463" s="24" t="n">
        <v>45970</v>
      </c>
      <c r="C463" s="23" t="n">
        <f aca="false">MONTH(B463)</f>
        <v>11</v>
      </c>
      <c r="D463" s="23" t="s">
        <v>23</v>
      </c>
      <c r="E463" s="23" t="s">
        <v>85</v>
      </c>
      <c r="F463" s="23" t="s">
        <v>68</v>
      </c>
      <c r="G463" s="23" t="str">
        <f aca="false">IFERROR(INDEX(Products!$B$2:$B$13,MATCH(F463,Products!$A$2:$A$13,0)),"Unknown")</f>
        <v>Laptops</v>
      </c>
      <c r="H463" s="23" t="n">
        <v>4</v>
      </c>
      <c r="I463" s="25" t="n">
        <f aca="false">IFERROR(INDEX(Products!$C$2:$C$13,MATCH(F463,Products!$A$2:$A$13,0)),0)</f>
        <v>780</v>
      </c>
      <c r="J463" s="25" t="n">
        <f aca="false">H463*I463</f>
        <v>3120</v>
      </c>
      <c r="K463" s="25" t="n">
        <f aca="false">IFERROR(INDEX(Products!$D$2:$D$13,MATCH(F463,Products!$A$2:$A$13,0)),0)</f>
        <v>590</v>
      </c>
      <c r="L463" s="25" t="n">
        <f aca="false">H463*K463</f>
        <v>2360</v>
      </c>
      <c r="M463" s="25" t="n">
        <f aca="false">J463-L463</f>
        <v>760</v>
      </c>
    </row>
    <row r="464" customFormat="false" ht="15" hidden="false" customHeight="false" outlineLevel="0" collapsed="false">
      <c r="A464" s="23" t="s">
        <v>548</v>
      </c>
      <c r="B464" s="24" t="n">
        <v>45970</v>
      </c>
      <c r="C464" s="23" t="n">
        <f aca="false">MONTH(B464)</f>
        <v>11</v>
      </c>
      <c r="D464" s="23" t="s">
        <v>23</v>
      </c>
      <c r="E464" s="23" t="s">
        <v>85</v>
      </c>
      <c r="F464" s="23" t="s">
        <v>68</v>
      </c>
      <c r="G464" s="23" t="str">
        <f aca="false">IFERROR(INDEX(Products!$B$2:$B$13,MATCH(F464,Products!$A$2:$A$13,0)),"Unknown")</f>
        <v>Laptops</v>
      </c>
      <c r="H464" s="23" t="n">
        <v>1</v>
      </c>
      <c r="I464" s="25" t="n">
        <f aca="false">IFERROR(INDEX(Products!$C$2:$C$13,MATCH(F464,Products!$A$2:$A$13,0)),0)</f>
        <v>780</v>
      </c>
      <c r="J464" s="25" t="n">
        <f aca="false">H464*I464</f>
        <v>780</v>
      </c>
      <c r="K464" s="25" t="n">
        <f aca="false">IFERROR(INDEX(Products!$D$2:$D$13,MATCH(F464,Products!$A$2:$A$13,0)),0)</f>
        <v>590</v>
      </c>
      <c r="L464" s="25" t="n">
        <f aca="false">H464*K464</f>
        <v>590</v>
      </c>
      <c r="M464" s="25" t="n">
        <f aca="false">J464-L464</f>
        <v>190</v>
      </c>
    </row>
    <row r="465" customFormat="false" ht="15" hidden="false" customHeight="false" outlineLevel="0" collapsed="false">
      <c r="A465" s="23" t="s">
        <v>549</v>
      </c>
      <c r="B465" s="24" t="n">
        <v>45970</v>
      </c>
      <c r="C465" s="23" t="n">
        <f aca="false">MONTH(B465)</f>
        <v>11</v>
      </c>
      <c r="D465" s="23" t="s">
        <v>23</v>
      </c>
      <c r="E465" s="23" t="s">
        <v>85</v>
      </c>
      <c r="F465" s="23" t="s">
        <v>104</v>
      </c>
      <c r="G465" s="23" t="str">
        <f aca="false">IFERROR(INDEX(Products!$B$2:$B$13,MATCH(F465,Products!$A$2:$A$13,0)),"Unknown")</f>
        <v>Phones</v>
      </c>
      <c r="H465" s="23" t="n">
        <v>1</v>
      </c>
      <c r="I465" s="25" t="n">
        <f aca="false">IFERROR(INDEX(Products!$C$2:$C$13,MATCH(F465,Products!$A$2:$A$13,0)),0)</f>
        <v>290</v>
      </c>
      <c r="J465" s="25" t="n">
        <f aca="false">H465*I465</f>
        <v>290</v>
      </c>
      <c r="K465" s="25" t="n">
        <f aca="false">IFERROR(INDEX(Products!$D$2:$D$13,MATCH(F465,Products!$A$2:$A$13,0)),0)</f>
        <v>205</v>
      </c>
      <c r="L465" s="25" t="n">
        <f aca="false">H465*K465</f>
        <v>205</v>
      </c>
      <c r="M465" s="25" t="n">
        <f aca="false">J465-L465</f>
        <v>85</v>
      </c>
    </row>
    <row r="466" customFormat="false" ht="15" hidden="false" customHeight="false" outlineLevel="0" collapsed="false">
      <c r="A466" s="23" t="s">
        <v>550</v>
      </c>
      <c r="B466" s="24" t="n">
        <v>45970</v>
      </c>
      <c r="C466" s="23" t="n">
        <f aca="false">MONTH(B466)</f>
        <v>11</v>
      </c>
      <c r="D466" s="23" t="s">
        <v>19</v>
      </c>
      <c r="E466" s="23" t="s">
        <v>73</v>
      </c>
      <c r="F466" s="23" t="s">
        <v>79</v>
      </c>
      <c r="G466" s="23" t="str">
        <f aca="false">IFERROR(INDEX(Products!$B$2:$B$13,MATCH(F466,Products!$A$2:$A$13,0)),"Unknown")</f>
        <v>Accessories</v>
      </c>
      <c r="H466" s="23" t="n">
        <v>15</v>
      </c>
      <c r="I466" s="25" t="n">
        <f aca="false">IFERROR(INDEX(Products!$C$2:$C$13,MATCH(F466,Products!$A$2:$A$13,0)),0)</f>
        <v>190</v>
      </c>
      <c r="J466" s="25" t="n">
        <f aca="false">H466*I466</f>
        <v>2850</v>
      </c>
      <c r="K466" s="25" t="n">
        <f aca="false">IFERROR(INDEX(Products!$D$2:$D$13,MATCH(F466,Products!$A$2:$A$13,0)),0)</f>
        <v>115</v>
      </c>
      <c r="L466" s="25" t="n">
        <f aca="false">H466*K466</f>
        <v>1725</v>
      </c>
      <c r="M466" s="25" t="n">
        <f aca="false">J466-L466</f>
        <v>1125</v>
      </c>
    </row>
    <row r="467" customFormat="false" ht="15" hidden="false" customHeight="false" outlineLevel="0" collapsed="false">
      <c r="A467" s="23" t="s">
        <v>551</v>
      </c>
      <c r="B467" s="24" t="n">
        <v>45971</v>
      </c>
      <c r="C467" s="23" t="n">
        <f aca="false">MONTH(B467)</f>
        <v>11</v>
      </c>
      <c r="D467" s="23" t="s">
        <v>23</v>
      </c>
      <c r="E467" s="23" t="s">
        <v>77</v>
      </c>
      <c r="F467" s="23" t="s">
        <v>94</v>
      </c>
      <c r="G467" s="23" t="str">
        <f aca="false">IFERROR(INDEX(Products!$B$2:$B$13,MATCH(F467,Products!$A$2:$A$13,0)),"Unknown")</f>
        <v>Laptops</v>
      </c>
      <c r="H467" s="23" t="n">
        <v>5</v>
      </c>
      <c r="I467" s="25" t="n">
        <f aca="false">IFERROR(INDEX(Products!$C$2:$C$13,MATCH(F467,Products!$A$2:$A$13,0)),0)</f>
        <v>1350</v>
      </c>
      <c r="J467" s="25" t="n">
        <f aca="false">H467*I467</f>
        <v>6750</v>
      </c>
      <c r="K467" s="25" t="n">
        <f aca="false">IFERROR(INDEX(Products!$D$2:$D$13,MATCH(F467,Products!$A$2:$A$13,0)),0)</f>
        <v>1040</v>
      </c>
      <c r="L467" s="25" t="n">
        <f aca="false">H467*K467</f>
        <v>5200</v>
      </c>
      <c r="M467" s="25" t="n">
        <f aca="false">J467-L467</f>
        <v>1550</v>
      </c>
    </row>
    <row r="468" customFormat="false" ht="15" hidden="false" customHeight="false" outlineLevel="0" collapsed="false">
      <c r="A468" s="23" t="s">
        <v>552</v>
      </c>
      <c r="B468" s="24" t="n">
        <v>45972</v>
      </c>
      <c r="C468" s="23" t="n">
        <f aca="false">MONTH(B468)</f>
        <v>11</v>
      </c>
      <c r="D468" s="23" t="s">
        <v>23</v>
      </c>
      <c r="E468" s="23" t="s">
        <v>85</v>
      </c>
      <c r="F468" s="23" t="s">
        <v>71</v>
      </c>
      <c r="G468" s="23" t="str">
        <f aca="false">IFERROR(INDEX(Products!$B$2:$B$13,MATCH(F468,Products!$A$2:$A$13,0)),"Unknown")</f>
        <v>Accessories</v>
      </c>
      <c r="H468" s="23" t="n">
        <v>9</v>
      </c>
      <c r="I468" s="25" t="n">
        <f aca="false">IFERROR(INDEX(Products!$C$2:$C$13,MATCH(F468,Products!$A$2:$A$13,0)),0)</f>
        <v>45</v>
      </c>
      <c r="J468" s="25" t="n">
        <f aca="false">H468*I468</f>
        <v>405</v>
      </c>
      <c r="K468" s="25" t="n">
        <f aca="false">IFERROR(INDEX(Products!$D$2:$D$13,MATCH(F468,Products!$A$2:$A$13,0)),0)</f>
        <v>18</v>
      </c>
      <c r="L468" s="25" t="n">
        <f aca="false">H468*K468</f>
        <v>162</v>
      </c>
      <c r="M468" s="25" t="n">
        <f aca="false">J468-L468</f>
        <v>243</v>
      </c>
    </row>
    <row r="469" customFormat="false" ht="15" hidden="false" customHeight="false" outlineLevel="0" collapsed="false">
      <c r="A469" s="23" t="s">
        <v>553</v>
      </c>
      <c r="B469" s="24" t="n">
        <v>45972</v>
      </c>
      <c r="C469" s="23" t="n">
        <f aca="false">MONTH(B469)</f>
        <v>11</v>
      </c>
      <c r="D469" s="23" t="s">
        <v>23</v>
      </c>
      <c r="E469" s="23" t="s">
        <v>85</v>
      </c>
      <c r="F469" s="23" t="s">
        <v>71</v>
      </c>
      <c r="G469" s="23" t="str">
        <f aca="false">IFERROR(INDEX(Products!$B$2:$B$13,MATCH(F469,Products!$A$2:$A$13,0)),"Unknown")</f>
        <v>Accessories</v>
      </c>
      <c r="H469" s="23" t="n">
        <v>3</v>
      </c>
      <c r="I469" s="25" t="n">
        <f aca="false">IFERROR(INDEX(Products!$C$2:$C$13,MATCH(F469,Products!$A$2:$A$13,0)),0)</f>
        <v>45</v>
      </c>
      <c r="J469" s="25" t="n">
        <f aca="false">H469*I469</f>
        <v>135</v>
      </c>
      <c r="K469" s="25" t="n">
        <f aca="false">IFERROR(INDEX(Products!$D$2:$D$13,MATCH(F469,Products!$A$2:$A$13,0)),0)</f>
        <v>18</v>
      </c>
      <c r="L469" s="25" t="n">
        <f aca="false">H469*K469</f>
        <v>54</v>
      </c>
      <c r="M469" s="25" t="n">
        <f aca="false">J469-L469</f>
        <v>81</v>
      </c>
    </row>
    <row r="470" customFormat="false" ht="15" hidden="false" customHeight="false" outlineLevel="0" collapsed="false">
      <c r="A470" s="23" t="s">
        <v>554</v>
      </c>
      <c r="B470" s="24" t="n">
        <v>45972</v>
      </c>
      <c r="C470" s="23" t="n">
        <f aca="false">MONTH(B470)</f>
        <v>11</v>
      </c>
      <c r="D470" s="23" t="s">
        <v>19</v>
      </c>
      <c r="E470" s="23" t="s">
        <v>70</v>
      </c>
      <c r="F470" s="23" t="s">
        <v>96</v>
      </c>
      <c r="G470" s="23" t="str">
        <f aca="false">IFERROR(INDEX(Products!$B$2:$B$13,MATCH(F470,Products!$A$2:$A$13,0)),"Unknown")</f>
        <v>Tablets</v>
      </c>
      <c r="H470" s="23" t="n">
        <v>1</v>
      </c>
      <c r="I470" s="25" t="n">
        <f aca="false">IFERROR(INDEX(Products!$C$2:$C$13,MATCH(F470,Products!$A$2:$A$13,0)),0)</f>
        <v>260</v>
      </c>
      <c r="J470" s="25" t="n">
        <f aca="false">H470*I470</f>
        <v>260</v>
      </c>
      <c r="K470" s="25" t="n">
        <f aca="false">IFERROR(INDEX(Products!$D$2:$D$13,MATCH(F470,Products!$A$2:$A$13,0)),0)</f>
        <v>180</v>
      </c>
      <c r="L470" s="25" t="n">
        <f aca="false">H470*K470</f>
        <v>180</v>
      </c>
      <c r="M470" s="25" t="n">
        <f aca="false">J470-L470</f>
        <v>80</v>
      </c>
    </row>
    <row r="471" customFormat="false" ht="15" hidden="false" customHeight="false" outlineLevel="0" collapsed="false">
      <c r="A471" s="23" t="s">
        <v>555</v>
      </c>
      <c r="B471" s="24" t="n">
        <v>45972</v>
      </c>
      <c r="C471" s="23" t="n">
        <f aca="false">MONTH(B471)</f>
        <v>11</v>
      </c>
      <c r="D471" s="23" t="s">
        <v>21</v>
      </c>
      <c r="E471" s="23" t="s">
        <v>90</v>
      </c>
      <c r="F471" s="23" t="s">
        <v>79</v>
      </c>
      <c r="G471" s="23" t="str">
        <f aca="false">IFERROR(INDEX(Products!$B$2:$B$13,MATCH(F471,Products!$A$2:$A$13,0)),"Unknown")</f>
        <v>Accessories</v>
      </c>
      <c r="H471" s="23" t="n">
        <v>15</v>
      </c>
      <c r="I471" s="25" t="n">
        <f aca="false">IFERROR(INDEX(Products!$C$2:$C$13,MATCH(F471,Products!$A$2:$A$13,0)),0)</f>
        <v>190</v>
      </c>
      <c r="J471" s="25" t="n">
        <f aca="false">H471*I471</f>
        <v>2850</v>
      </c>
      <c r="K471" s="25" t="n">
        <f aca="false">IFERROR(INDEX(Products!$D$2:$D$13,MATCH(F471,Products!$A$2:$A$13,0)),0)</f>
        <v>115</v>
      </c>
      <c r="L471" s="25" t="n">
        <f aca="false">H471*K471</f>
        <v>1725</v>
      </c>
      <c r="M471" s="25" t="n">
        <f aca="false">J471-L471</f>
        <v>1125</v>
      </c>
    </row>
    <row r="472" customFormat="false" ht="15" hidden="false" customHeight="false" outlineLevel="0" collapsed="false">
      <c r="A472" s="23" t="s">
        <v>556</v>
      </c>
      <c r="B472" s="24" t="n">
        <v>45972</v>
      </c>
      <c r="C472" s="23" t="n">
        <f aca="false">MONTH(B472)</f>
        <v>11</v>
      </c>
      <c r="D472" s="23" t="s">
        <v>23</v>
      </c>
      <c r="E472" s="23" t="s">
        <v>85</v>
      </c>
      <c r="F472" s="23" t="s">
        <v>83</v>
      </c>
      <c r="G472" s="23" t="str">
        <f aca="false">IFERROR(INDEX(Products!$B$2:$B$13,MATCH(F472,Products!$A$2:$A$13,0)),"Unknown")</f>
        <v>Phones</v>
      </c>
      <c r="H472" s="23" t="n">
        <v>4</v>
      </c>
      <c r="I472" s="25" t="n">
        <f aca="false">IFERROR(INDEX(Products!$C$2:$C$13,MATCH(F472,Products!$A$2:$A$13,0)),0)</f>
        <v>640</v>
      </c>
      <c r="J472" s="25" t="n">
        <f aca="false">H472*I472</f>
        <v>2560</v>
      </c>
      <c r="K472" s="25" t="n">
        <f aca="false">IFERROR(INDEX(Products!$D$2:$D$13,MATCH(F472,Products!$A$2:$A$13,0)),0)</f>
        <v>470</v>
      </c>
      <c r="L472" s="25" t="n">
        <f aca="false">H472*K472</f>
        <v>1880</v>
      </c>
      <c r="M472" s="25" t="n">
        <f aca="false">J472-L472</f>
        <v>680</v>
      </c>
    </row>
    <row r="473" customFormat="false" ht="15" hidden="false" customHeight="false" outlineLevel="0" collapsed="false">
      <c r="A473" s="23" t="s">
        <v>557</v>
      </c>
      <c r="B473" s="24" t="n">
        <v>45973</v>
      </c>
      <c r="C473" s="23" t="n">
        <f aca="false">MONTH(B473)</f>
        <v>11</v>
      </c>
      <c r="D473" s="23" t="s">
        <v>21</v>
      </c>
      <c r="E473" s="23" t="s">
        <v>90</v>
      </c>
      <c r="F473" s="23" t="s">
        <v>91</v>
      </c>
      <c r="G473" s="23" t="str">
        <f aca="false">IFERROR(INDEX(Products!$B$2:$B$13,MATCH(F473,Products!$A$2:$A$13,0)),"Unknown")</f>
        <v>Tablets</v>
      </c>
      <c r="H473" s="23" t="n">
        <v>2</v>
      </c>
      <c r="I473" s="25" t="n">
        <f aca="false">IFERROR(INDEX(Products!$C$2:$C$13,MATCH(F473,Products!$A$2:$A$13,0)),0)</f>
        <v>420</v>
      </c>
      <c r="J473" s="25" t="n">
        <f aca="false">H473*I473</f>
        <v>840</v>
      </c>
      <c r="K473" s="25" t="n">
        <f aca="false">IFERROR(INDEX(Products!$D$2:$D$13,MATCH(F473,Products!$A$2:$A$13,0)),0)</f>
        <v>300</v>
      </c>
      <c r="L473" s="25" t="n">
        <f aca="false">H473*K473</f>
        <v>600</v>
      </c>
      <c r="M473" s="25" t="n">
        <f aca="false">J473-L473</f>
        <v>240</v>
      </c>
    </row>
    <row r="474" customFormat="false" ht="15" hidden="false" customHeight="false" outlineLevel="0" collapsed="false">
      <c r="A474" s="23" t="s">
        <v>558</v>
      </c>
      <c r="B474" s="24" t="n">
        <v>45973</v>
      </c>
      <c r="C474" s="23" t="n">
        <f aca="false">MONTH(B474)</f>
        <v>11</v>
      </c>
      <c r="D474" s="23" t="s">
        <v>21</v>
      </c>
      <c r="E474" s="23" t="s">
        <v>90</v>
      </c>
      <c r="F474" s="23" t="s">
        <v>68</v>
      </c>
      <c r="G474" s="23" t="str">
        <f aca="false">IFERROR(INDEX(Products!$B$2:$B$13,MATCH(F474,Products!$A$2:$A$13,0)),"Unknown")</f>
        <v>Laptops</v>
      </c>
      <c r="H474" s="23" t="n">
        <v>1</v>
      </c>
      <c r="I474" s="25" t="n">
        <f aca="false">IFERROR(INDEX(Products!$C$2:$C$13,MATCH(F474,Products!$A$2:$A$13,0)),0)</f>
        <v>780</v>
      </c>
      <c r="J474" s="25" t="n">
        <f aca="false">H474*I474</f>
        <v>780</v>
      </c>
      <c r="K474" s="25" t="n">
        <f aca="false">IFERROR(INDEX(Products!$D$2:$D$13,MATCH(F474,Products!$A$2:$A$13,0)),0)</f>
        <v>590</v>
      </c>
      <c r="L474" s="25" t="n">
        <f aca="false">H474*K474</f>
        <v>590</v>
      </c>
      <c r="M474" s="25" t="n">
        <f aca="false">J474-L474</f>
        <v>190</v>
      </c>
    </row>
    <row r="475" customFormat="false" ht="15" hidden="false" customHeight="false" outlineLevel="0" collapsed="false">
      <c r="A475" s="23" t="s">
        <v>559</v>
      </c>
      <c r="B475" s="24" t="n">
        <v>45974</v>
      </c>
      <c r="C475" s="23" t="n">
        <f aca="false">MONTH(B475)</f>
        <v>11</v>
      </c>
      <c r="D475" s="23" t="s">
        <v>23</v>
      </c>
      <c r="E475" s="23" t="s">
        <v>77</v>
      </c>
      <c r="F475" s="23" t="s">
        <v>104</v>
      </c>
      <c r="G475" s="23" t="str">
        <f aca="false">IFERROR(INDEX(Products!$B$2:$B$13,MATCH(F475,Products!$A$2:$A$13,0)),"Unknown")</f>
        <v>Phones</v>
      </c>
      <c r="H475" s="23" t="n">
        <v>5</v>
      </c>
      <c r="I475" s="25" t="n">
        <f aca="false">IFERROR(INDEX(Products!$C$2:$C$13,MATCH(F475,Products!$A$2:$A$13,0)),0)</f>
        <v>290</v>
      </c>
      <c r="J475" s="25" t="n">
        <f aca="false">H475*I475</f>
        <v>1450</v>
      </c>
      <c r="K475" s="25" t="n">
        <f aca="false">IFERROR(INDEX(Products!$D$2:$D$13,MATCH(F475,Products!$A$2:$A$13,0)),0)</f>
        <v>205</v>
      </c>
      <c r="L475" s="25" t="n">
        <f aca="false">H475*K475</f>
        <v>1025</v>
      </c>
      <c r="M475" s="25" t="n">
        <f aca="false">J475-L475</f>
        <v>425</v>
      </c>
    </row>
    <row r="476" customFormat="false" ht="15" hidden="false" customHeight="false" outlineLevel="0" collapsed="false">
      <c r="A476" s="23" t="s">
        <v>560</v>
      </c>
      <c r="B476" s="24" t="n">
        <v>45974</v>
      </c>
      <c r="C476" s="23" t="n">
        <f aca="false">MONTH(B476)</f>
        <v>11</v>
      </c>
      <c r="D476" s="23" t="s">
        <v>19</v>
      </c>
      <c r="E476" s="23" t="s">
        <v>70</v>
      </c>
      <c r="F476" s="23" t="s">
        <v>71</v>
      </c>
      <c r="G476" s="23" t="str">
        <f aca="false">IFERROR(INDEX(Products!$B$2:$B$13,MATCH(F476,Products!$A$2:$A$13,0)),"Unknown")</f>
        <v>Accessories</v>
      </c>
      <c r="H476" s="23" t="n">
        <v>3</v>
      </c>
      <c r="I476" s="25" t="n">
        <f aca="false">IFERROR(INDEX(Products!$C$2:$C$13,MATCH(F476,Products!$A$2:$A$13,0)),0)</f>
        <v>45</v>
      </c>
      <c r="J476" s="25" t="n">
        <f aca="false">H476*I476</f>
        <v>135</v>
      </c>
      <c r="K476" s="25" t="n">
        <f aca="false">IFERROR(INDEX(Products!$D$2:$D$13,MATCH(F476,Products!$A$2:$A$13,0)),0)</f>
        <v>18</v>
      </c>
      <c r="L476" s="25" t="n">
        <f aca="false">H476*K476</f>
        <v>54</v>
      </c>
      <c r="M476" s="25" t="n">
        <f aca="false">J476-L476</f>
        <v>81</v>
      </c>
    </row>
    <row r="477" customFormat="false" ht="15" hidden="false" customHeight="false" outlineLevel="0" collapsed="false">
      <c r="A477" s="23" t="s">
        <v>561</v>
      </c>
      <c r="B477" s="24" t="n">
        <v>45975</v>
      </c>
      <c r="C477" s="23" t="n">
        <f aca="false">MONTH(B477)</f>
        <v>11</v>
      </c>
      <c r="D477" s="23" t="s">
        <v>19</v>
      </c>
      <c r="E477" s="23" t="s">
        <v>73</v>
      </c>
      <c r="F477" s="23" t="s">
        <v>71</v>
      </c>
      <c r="G477" s="23" t="str">
        <f aca="false">IFERROR(INDEX(Products!$B$2:$B$13,MATCH(F477,Products!$A$2:$A$13,0)),"Unknown")</f>
        <v>Accessories</v>
      </c>
      <c r="H477" s="23" t="n">
        <v>6</v>
      </c>
      <c r="I477" s="25" t="n">
        <f aca="false">IFERROR(INDEX(Products!$C$2:$C$13,MATCH(F477,Products!$A$2:$A$13,0)),0)</f>
        <v>45</v>
      </c>
      <c r="J477" s="25" t="n">
        <f aca="false">H477*I477</f>
        <v>270</v>
      </c>
      <c r="K477" s="25" t="n">
        <f aca="false">IFERROR(INDEX(Products!$D$2:$D$13,MATCH(F477,Products!$A$2:$A$13,0)),0)</f>
        <v>18</v>
      </c>
      <c r="L477" s="25" t="n">
        <f aca="false">H477*K477</f>
        <v>108</v>
      </c>
      <c r="M477" s="25" t="n">
        <f aca="false">J477-L477</f>
        <v>162</v>
      </c>
    </row>
    <row r="478" customFormat="false" ht="15" hidden="false" customHeight="false" outlineLevel="0" collapsed="false">
      <c r="A478" s="23" t="s">
        <v>562</v>
      </c>
      <c r="B478" s="24" t="n">
        <v>45975</v>
      </c>
      <c r="C478" s="23" t="n">
        <f aca="false">MONTH(B478)</f>
        <v>11</v>
      </c>
      <c r="D478" s="23" t="s">
        <v>23</v>
      </c>
      <c r="E478" s="23" t="s">
        <v>77</v>
      </c>
      <c r="F478" s="23" t="s">
        <v>88</v>
      </c>
      <c r="G478" s="23" t="str">
        <f aca="false">IFERROR(INDEX(Products!$B$2:$B$13,MATCH(F478,Products!$A$2:$A$13,0)),"Unknown")</f>
        <v>Accessories</v>
      </c>
      <c r="H478" s="23" t="n">
        <v>12</v>
      </c>
      <c r="I478" s="25" t="n">
        <f aca="false">IFERROR(INDEX(Products!$C$2:$C$13,MATCH(F478,Products!$A$2:$A$13,0)),0)</f>
        <v>85</v>
      </c>
      <c r="J478" s="25" t="n">
        <f aca="false">H478*I478</f>
        <v>1020</v>
      </c>
      <c r="K478" s="25" t="n">
        <f aca="false">IFERROR(INDEX(Products!$D$2:$D$13,MATCH(F478,Products!$A$2:$A$13,0)),0)</f>
        <v>38</v>
      </c>
      <c r="L478" s="25" t="n">
        <f aca="false">H478*K478</f>
        <v>456</v>
      </c>
      <c r="M478" s="25" t="n">
        <f aca="false">J478-L478</f>
        <v>564</v>
      </c>
    </row>
    <row r="479" customFormat="false" ht="15" hidden="false" customHeight="false" outlineLevel="0" collapsed="false">
      <c r="A479" s="23" t="s">
        <v>563</v>
      </c>
      <c r="B479" s="24" t="n">
        <v>45976</v>
      </c>
      <c r="C479" s="23" t="n">
        <f aca="false">MONTH(B479)</f>
        <v>11</v>
      </c>
      <c r="D479" s="23" t="s">
        <v>19</v>
      </c>
      <c r="E479" s="23" t="s">
        <v>73</v>
      </c>
      <c r="F479" s="23" t="s">
        <v>79</v>
      </c>
      <c r="G479" s="23" t="str">
        <f aca="false">IFERROR(INDEX(Products!$B$2:$B$13,MATCH(F479,Products!$A$2:$A$13,0)),"Unknown")</f>
        <v>Accessories</v>
      </c>
      <c r="H479" s="23" t="n">
        <v>9</v>
      </c>
      <c r="I479" s="25" t="n">
        <f aca="false">IFERROR(INDEX(Products!$C$2:$C$13,MATCH(F479,Products!$A$2:$A$13,0)),0)</f>
        <v>190</v>
      </c>
      <c r="J479" s="25" t="n">
        <f aca="false">H479*I479</f>
        <v>1710</v>
      </c>
      <c r="K479" s="25" t="n">
        <f aca="false">IFERROR(INDEX(Products!$D$2:$D$13,MATCH(F479,Products!$A$2:$A$13,0)),0)</f>
        <v>115</v>
      </c>
      <c r="L479" s="25" t="n">
        <f aca="false">H479*K479</f>
        <v>1035</v>
      </c>
      <c r="M479" s="25" t="n">
        <f aca="false">J479-L479</f>
        <v>675</v>
      </c>
    </row>
    <row r="480" customFormat="false" ht="15" hidden="false" customHeight="false" outlineLevel="0" collapsed="false">
      <c r="A480" s="23" t="s">
        <v>564</v>
      </c>
      <c r="B480" s="24" t="n">
        <v>45976</v>
      </c>
      <c r="C480" s="23" t="n">
        <f aca="false">MONTH(B480)</f>
        <v>11</v>
      </c>
      <c r="D480" s="23" t="s">
        <v>17</v>
      </c>
      <c r="E480" s="23" t="s">
        <v>116</v>
      </c>
      <c r="F480" s="23" t="s">
        <v>68</v>
      </c>
      <c r="G480" s="23" t="str">
        <f aca="false">IFERROR(INDEX(Products!$B$2:$B$13,MATCH(F480,Products!$A$2:$A$13,0)),"Unknown")</f>
        <v>Laptops</v>
      </c>
      <c r="H480" s="23" t="n">
        <v>1</v>
      </c>
      <c r="I480" s="25" t="n">
        <f aca="false">IFERROR(INDEX(Products!$C$2:$C$13,MATCH(F480,Products!$A$2:$A$13,0)),0)</f>
        <v>780</v>
      </c>
      <c r="J480" s="25" t="n">
        <f aca="false">H480*I480</f>
        <v>780</v>
      </c>
      <c r="K480" s="25" t="n">
        <f aca="false">IFERROR(INDEX(Products!$D$2:$D$13,MATCH(F480,Products!$A$2:$A$13,0)),0)</f>
        <v>590</v>
      </c>
      <c r="L480" s="25" t="n">
        <f aca="false">H480*K480</f>
        <v>590</v>
      </c>
      <c r="M480" s="25" t="n">
        <f aca="false">J480-L480</f>
        <v>190</v>
      </c>
    </row>
    <row r="481" customFormat="false" ht="15" hidden="false" customHeight="false" outlineLevel="0" collapsed="false">
      <c r="A481" s="23" t="s">
        <v>565</v>
      </c>
      <c r="B481" s="24" t="n">
        <v>45977</v>
      </c>
      <c r="C481" s="23" t="n">
        <f aca="false">MONTH(B481)</f>
        <v>11</v>
      </c>
      <c r="D481" s="23" t="s">
        <v>21</v>
      </c>
      <c r="E481" s="23" t="s">
        <v>87</v>
      </c>
      <c r="F481" s="23" t="s">
        <v>83</v>
      </c>
      <c r="G481" s="23" t="str">
        <f aca="false">IFERROR(INDEX(Products!$B$2:$B$13,MATCH(F481,Products!$A$2:$A$13,0)),"Unknown")</f>
        <v>Phones</v>
      </c>
      <c r="H481" s="23" t="n">
        <v>5</v>
      </c>
      <c r="I481" s="25" t="n">
        <f aca="false">IFERROR(INDEX(Products!$C$2:$C$13,MATCH(F481,Products!$A$2:$A$13,0)),0)</f>
        <v>640</v>
      </c>
      <c r="J481" s="25" t="n">
        <f aca="false">H481*I481</f>
        <v>3200</v>
      </c>
      <c r="K481" s="25" t="n">
        <f aca="false">IFERROR(INDEX(Products!$D$2:$D$13,MATCH(F481,Products!$A$2:$A$13,0)),0)</f>
        <v>470</v>
      </c>
      <c r="L481" s="25" t="n">
        <f aca="false">H481*K481</f>
        <v>2350</v>
      </c>
      <c r="M481" s="25" t="n">
        <f aca="false">J481-L481</f>
        <v>850</v>
      </c>
    </row>
    <row r="482" customFormat="false" ht="15" hidden="false" customHeight="false" outlineLevel="0" collapsed="false">
      <c r="A482" s="23" t="s">
        <v>566</v>
      </c>
      <c r="B482" s="24" t="n">
        <v>45978</v>
      </c>
      <c r="C482" s="23" t="n">
        <f aca="false">MONTH(B482)</f>
        <v>11</v>
      </c>
      <c r="D482" s="23" t="s">
        <v>17</v>
      </c>
      <c r="E482" s="23" t="s">
        <v>116</v>
      </c>
      <c r="F482" s="23" t="s">
        <v>83</v>
      </c>
      <c r="G482" s="23" t="str">
        <f aca="false">IFERROR(INDEX(Products!$B$2:$B$13,MATCH(F482,Products!$A$2:$A$13,0)),"Unknown")</f>
        <v>Phones</v>
      </c>
      <c r="H482" s="23" t="n">
        <v>5</v>
      </c>
      <c r="I482" s="25" t="n">
        <f aca="false">IFERROR(INDEX(Products!$C$2:$C$13,MATCH(F482,Products!$A$2:$A$13,0)),0)</f>
        <v>640</v>
      </c>
      <c r="J482" s="25" t="n">
        <f aca="false">H482*I482</f>
        <v>3200</v>
      </c>
      <c r="K482" s="25" t="n">
        <f aca="false">IFERROR(INDEX(Products!$D$2:$D$13,MATCH(F482,Products!$A$2:$A$13,0)),0)</f>
        <v>470</v>
      </c>
      <c r="L482" s="25" t="n">
        <f aca="false">H482*K482</f>
        <v>2350</v>
      </c>
      <c r="M482" s="25" t="n">
        <f aca="false">J482-L482</f>
        <v>850</v>
      </c>
    </row>
    <row r="483" customFormat="false" ht="15" hidden="false" customHeight="false" outlineLevel="0" collapsed="false">
      <c r="A483" s="23" t="s">
        <v>567</v>
      </c>
      <c r="B483" s="24" t="n">
        <v>45979</v>
      </c>
      <c r="C483" s="23" t="n">
        <f aca="false">MONTH(B483)</f>
        <v>11</v>
      </c>
      <c r="D483" s="23" t="s">
        <v>23</v>
      </c>
      <c r="E483" s="23" t="s">
        <v>85</v>
      </c>
      <c r="F483" s="23" t="s">
        <v>81</v>
      </c>
      <c r="G483" s="23" t="str">
        <f aca="false">IFERROR(INDEX(Products!$B$2:$B$13,MATCH(F483,Products!$A$2:$A$13,0)),"Unknown")</f>
        <v>Laptops</v>
      </c>
      <c r="H483" s="23" t="n">
        <v>2</v>
      </c>
      <c r="I483" s="25" t="n">
        <f aca="false">IFERROR(INDEX(Products!$C$2:$C$13,MATCH(F483,Products!$A$2:$A$13,0)),0)</f>
        <v>950</v>
      </c>
      <c r="J483" s="25" t="n">
        <f aca="false">H483*I483</f>
        <v>1900</v>
      </c>
      <c r="K483" s="25" t="n">
        <f aca="false">IFERROR(INDEX(Products!$D$2:$D$13,MATCH(F483,Products!$A$2:$A$13,0)),0)</f>
        <v>720</v>
      </c>
      <c r="L483" s="25" t="n">
        <f aca="false">H483*K483</f>
        <v>1440</v>
      </c>
      <c r="M483" s="25" t="n">
        <f aca="false">J483-L483</f>
        <v>460</v>
      </c>
    </row>
    <row r="484" customFormat="false" ht="15" hidden="false" customHeight="false" outlineLevel="0" collapsed="false">
      <c r="A484" s="23" t="s">
        <v>568</v>
      </c>
      <c r="B484" s="24" t="n">
        <v>45980</v>
      </c>
      <c r="C484" s="23" t="n">
        <f aca="false">MONTH(B484)</f>
        <v>11</v>
      </c>
      <c r="D484" s="23" t="s">
        <v>19</v>
      </c>
      <c r="E484" s="23" t="s">
        <v>70</v>
      </c>
      <c r="F484" s="23" t="s">
        <v>98</v>
      </c>
      <c r="G484" s="23" t="str">
        <f aca="false">IFERROR(INDEX(Products!$B$2:$B$13,MATCH(F484,Products!$A$2:$A$13,0)),"Unknown")</f>
        <v>Monitors</v>
      </c>
      <c r="H484" s="23" t="n">
        <v>2</v>
      </c>
      <c r="I484" s="25" t="n">
        <f aca="false">IFERROR(INDEX(Products!$C$2:$C$13,MATCH(F484,Products!$A$2:$A$13,0)),0)</f>
        <v>480</v>
      </c>
      <c r="J484" s="25" t="n">
        <f aca="false">H484*I484</f>
        <v>960</v>
      </c>
      <c r="K484" s="25" t="n">
        <f aca="false">IFERROR(INDEX(Products!$D$2:$D$13,MATCH(F484,Products!$A$2:$A$13,0)),0)</f>
        <v>350</v>
      </c>
      <c r="L484" s="25" t="n">
        <f aca="false">H484*K484</f>
        <v>700</v>
      </c>
      <c r="M484" s="25" t="n">
        <f aca="false">J484-L484</f>
        <v>260</v>
      </c>
    </row>
    <row r="485" customFormat="false" ht="15" hidden="false" customHeight="false" outlineLevel="0" collapsed="false">
      <c r="A485" s="23" t="s">
        <v>569</v>
      </c>
      <c r="B485" s="24" t="n">
        <v>45980</v>
      </c>
      <c r="C485" s="23" t="n">
        <f aca="false">MONTH(B485)</f>
        <v>11</v>
      </c>
      <c r="D485" s="23" t="s">
        <v>19</v>
      </c>
      <c r="E485" s="23" t="s">
        <v>70</v>
      </c>
      <c r="F485" s="23" t="s">
        <v>88</v>
      </c>
      <c r="G485" s="23" t="str">
        <f aca="false">IFERROR(INDEX(Products!$B$2:$B$13,MATCH(F485,Products!$A$2:$A$13,0)),"Unknown")</f>
        <v>Accessories</v>
      </c>
      <c r="H485" s="23" t="n">
        <v>12</v>
      </c>
      <c r="I485" s="25" t="n">
        <f aca="false">IFERROR(INDEX(Products!$C$2:$C$13,MATCH(F485,Products!$A$2:$A$13,0)),0)</f>
        <v>85</v>
      </c>
      <c r="J485" s="25" t="n">
        <f aca="false">H485*I485</f>
        <v>1020</v>
      </c>
      <c r="K485" s="25" t="n">
        <f aca="false">IFERROR(INDEX(Products!$D$2:$D$13,MATCH(F485,Products!$A$2:$A$13,0)),0)</f>
        <v>38</v>
      </c>
      <c r="L485" s="25" t="n">
        <f aca="false">H485*K485</f>
        <v>456</v>
      </c>
      <c r="M485" s="25" t="n">
        <f aca="false">J485-L485</f>
        <v>564</v>
      </c>
    </row>
    <row r="486" customFormat="false" ht="15" hidden="false" customHeight="false" outlineLevel="0" collapsed="false">
      <c r="A486" s="23" t="s">
        <v>570</v>
      </c>
      <c r="B486" s="24" t="n">
        <v>45981</v>
      </c>
      <c r="C486" s="23" t="n">
        <f aca="false">MONTH(B486)</f>
        <v>11</v>
      </c>
      <c r="D486" s="23" t="s">
        <v>23</v>
      </c>
      <c r="E486" s="23" t="s">
        <v>77</v>
      </c>
      <c r="F486" s="23" t="s">
        <v>98</v>
      </c>
      <c r="G486" s="23" t="str">
        <f aca="false">IFERROR(INDEX(Products!$B$2:$B$13,MATCH(F486,Products!$A$2:$A$13,0)),"Unknown")</f>
        <v>Monitors</v>
      </c>
      <c r="H486" s="23" t="n">
        <v>3</v>
      </c>
      <c r="I486" s="25" t="n">
        <f aca="false">IFERROR(INDEX(Products!$C$2:$C$13,MATCH(F486,Products!$A$2:$A$13,0)),0)</f>
        <v>480</v>
      </c>
      <c r="J486" s="25" t="n">
        <f aca="false">H486*I486</f>
        <v>1440</v>
      </c>
      <c r="K486" s="25" t="n">
        <f aca="false">IFERROR(INDEX(Products!$D$2:$D$13,MATCH(F486,Products!$A$2:$A$13,0)),0)</f>
        <v>350</v>
      </c>
      <c r="L486" s="25" t="n">
        <f aca="false">H486*K486</f>
        <v>1050</v>
      </c>
      <c r="M486" s="25" t="n">
        <f aca="false">J486-L486</f>
        <v>390</v>
      </c>
    </row>
    <row r="487" customFormat="false" ht="15" hidden="false" customHeight="false" outlineLevel="0" collapsed="false">
      <c r="A487" s="23" t="s">
        <v>571</v>
      </c>
      <c r="B487" s="24" t="n">
        <v>45982</v>
      </c>
      <c r="C487" s="23" t="n">
        <f aca="false">MONTH(B487)</f>
        <v>11</v>
      </c>
      <c r="D487" s="23" t="s">
        <v>17</v>
      </c>
      <c r="E487" s="23" t="s">
        <v>116</v>
      </c>
      <c r="F487" s="23" t="s">
        <v>79</v>
      </c>
      <c r="G487" s="23" t="str">
        <f aca="false">IFERROR(INDEX(Products!$B$2:$B$13,MATCH(F487,Products!$A$2:$A$13,0)),"Unknown")</f>
        <v>Accessories</v>
      </c>
      <c r="H487" s="23" t="n">
        <v>3</v>
      </c>
      <c r="I487" s="25" t="n">
        <f aca="false">IFERROR(INDEX(Products!$C$2:$C$13,MATCH(F487,Products!$A$2:$A$13,0)),0)</f>
        <v>190</v>
      </c>
      <c r="J487" s="25" t="n">
        <f aca="false">H487*I487</f>
        <v>570</v>
      </c>
      <c r="K487" s="25" t="n">
        <f aca="false">IFERROR(INDEX(Products!$D$2:$D$13,MATCH(F487,Products!$A$2:$A$13,0)),0)</f>
        <v>115</v>
      </c>
      <c r="L487" s="25" t="n">
        <f aca="false">H487*K487</f>
        <v>345</v>
      </c>
      <c r="M487" s="25" t="n">
        <f aca="false">J487-L487</f>
        <v>225</v>
      </c>
    </row>
    <row r="488" customFormat="false" ht="15" hidden="false" customHeight="false" outlineLevel="0" collapsed="false">
      <c r="A488" s="23" t="s">
        <v>572</v>
      </c>
      <c r="B488" s="24" t="n">
        <v>45982</v>
      </c>
      <c r="C488" s="23" t="n">
        <f aca="false">MONTH(B488)</f>
        <v>11</v>
      </c>
      <c r="D488" s="23" t="s">
        <v>21</v>
      </c>
      <c r="E488" s="23" t="s">
        <v>87</v>
      </c>
      <c r="F488" s="23" t="s">
        <v>71</v>
      </c>
      <c r="G488" s="23" t="str">
        <f aca="false">IFERROR(INDEX(Products!$B$2:$B$13,MATCH(F488,Products!$A$2:$A$13,0)),"Unknown")</f>
        <v>Accessories</v>
      </c>
      <c r="H488" s="23" t="n">
        <v>15</v>
      </c>
      <c r="I488" s="25" t="n">
        <f aca="false">IFERROR(INDEX(Products!$C$2:$C$13,MATCH(F488,Products!$A$2:$A$13,0)),0)</f>
        <v>45</v>
      </c>
      <c r="J488" s="25" t="n">
        <f aca="false">H488*I488</f>
        <v>675</v>
      </c>
      <c r="K488" s="25" t="n">
        <f aca="false">IFERROR(INDEX(Products!$D$2:$D$13,MATCH(F488,Products!$A$2:$A$13,0)),0)</f>
        <v>18</v>
      </c>
      <c r="L488" s="25" t="n">
        <f aca="false">H488*K488</f>
        <v>270</v>
      </c>
      <c r="M488" s="25" t="n">
        <f aca="false">J488-L488</f>
        <v>405</v>
      </c>
    </row>
    <row r="489" customFormat="false" ht="15" hidden="false" customHeight="false" outlineLevel="0" collapsed="false">
      <c r="A489" s="23" t="s">
        <v>573</v>
      </c>
      <c r="B489" s="24" t="n">
        <v>45983</v>
      </c>
      <c r="C489" s="23" t="n">
        <f aca="false">MONTH(B489)</f>
        <v>11</v>
      </c>
      <c r="D489" s="23" t="s">
        <v>17</v>
      </c>
      <c r="E489" s="23" t="s">
        <v>67</v>
      </c>
      <c r="F489" s="23" t="s">
        <v>88</v>
      </c>
      <c r="G489" s="23" t="str">
        <f aca="false">IFERROR(INDEX(Products!$B$2:$B$13,MATCH(F489,Products!$A$2:$A$13,0)),"Unknown")</f>
        <v>Accessories</v>
      </c>
      <c r="H489" s="23" t="n">
        <v>3</v>
      </c>
      <c r="I489" s="25" t="n">
        <f aca="false">IFERROR(INDEX(Products!$C$2:$C$13,MATCH(F489,Products!$A$2:$A$13,0)),0)</f>
        <v>85</v>
      </c>
      <c r="J489" s="25" t="n">
        <f aca="false">H489*I489</f>
        <v>255</v>
      </c>
      <c r="K489" s="25" t="n">
        <f aca="false">IFERROR(INDEX(Products!$D$2:$D$13,MATCH(F489,Products!$A$2:$A$13,0)),0)</f>
        <v>38</v>
      </c>
      <c r="L489" s="25" t="n">
        <f aca="false">H489*K489</f>
        <v>114</v>
      </c>
      <c r="M489" s="25" t="n">
        <f aca="false">J489-L489</f>
        <v>141</v>
      </c>
    </row>
    <row r="490" customFormat="false" ht="15" hidden="false" customHeight="false" outlineLevel="0" collapsed="false">
      <c r="A490" s="23" t="s">
        <v>574</v>
      </c>
      <c r="B490" s="24" t="n">
        <v>45983</v>
      </c>
      <c r="C490" s="23" t="n">
        <f aca="false">MONTH(B490)</f>
        <v>11</v>
      </c>
      <c r="D490" s="23" t="s">
        <v>23</v>
      </c>
      <c r="E490" s="23" t="s">
        <v>85</v>
      </c>
      <c r="F490" s="23" t="s">
        <v>94</v>
      </c>
      <c r="G490" s="23" t="str">
        <f aca="false">IFERROR(INDEX(Products!$B$2:$B$13,MATCH(F490,Products!$A$2:$A$13,0)),"Unknown")</f>
        <v>Laptops</v>
      </c>
      <c r="H490" s="23" t="n">
        <v>2</v>
      </c>
      <c r="I490" s="25" t="n">
        <f aca="false">IFERROR(INDEX(Products!$C$2:$C$13,MATCH(F490,Products!$A$2:$A$13,0)),0)</f>
        <v>1350</v>
      </c>
      <c r="J490" s="25" t="n">
        <f aca="false">H490*I490</f>
        <v>2700</v>
      </c>
      <c r="K490" s="25" t="n">
        <f aca="false">IFERROR(INDEX(Products!$D$2:$D$13,MATCH(F490,Products!$A$2:$A$13,0)),0)</f>
        <v>1040</v>
      </c>
      <c r="L490" s="25" t="n">
        <f aca="false">H490*K490</f>
        <v>2080</v>
      </c>
      <c r="M490" s="25" t="n">
        <f aca="false">J490-L490</f>
        <v>620</v>
      </c>
    </row>
    <row r="491" customFormat="false" ht="15" hidden="false" customHeight="false" outlineLevel="0" collapsed="false">
      <c r="A491" s="23" t="s">
        <v>575</v>
      </c>
      <c r="B491" s="24" t="n">
        <v>45984</v>
      </c>
      <c r="C491" s="23" t="n">
        <f aca="false">MONTH(B491)</f>
        <v>11</v>
      </c>
      <c r="D491" s="23" t="s">
        <v>19</v>
      </c>
      <c r="E491" s="23" t="s">
        <v>70</v>
      </c>
      <c r="F491" s="23" t="s">
        <v>81</v>
      </c>
      <c r="G491" s="23" t="str">
        <f aca="false">IFERROR(INDEX(Products!$B$2:$B$13,MATCH(F491,Products!$A$2:$A$13,0)),"Unknown")</f>
        <v>Laptops</v>
      </c>
      <c r="H491" s="23" t="n">
        <v>5</v>
      </c>
      <c r="I491" s="25" t="n">
        <f aca="false">IFERROR(INDEX(Products!$C$2:$C$13,MATCH(F491,Products!$A$2:$A$13,0)),0)</f>
        <v>950</v>
      </c>
      <c r="J491" s="25" t="n">
        <f aca="false">H491*I491</f>
        <v>4750</v>
      </c>
      <c r="K491" s="25" t="n">
        <f aca="false">IFERROR(INDEX(Products!$D$2:$D$13,MATCH(F491,Products!$A$2:$A$13,0)),0)</f>
        <v>720</v>
      </c>
      <c r="L491" s="25" t="n">
        <f aca="false">H491*K491</f>
        <v>3600</v>
      </c>
      <c r="M491" s="25" t="n">
        <f aca="false">J491-L491</f>
        <v>1150</v>
      </c>
    </row>
    <row r="492" customFormat="false" ht="15" hidden="false" customHeight="false" outlineLevel="0" collapsed="false">
      <c r="A492" s="23" t="s">
        <v>576</v>
      </c>
      <c r="B492" s="24" t="n">
        <v>45984</v>
      </c>
      <c r="C492" s="23" t="n">
        <f aca="false">MONTH(B492)</f>
        <v>11</v>
      </c>
      <c r="D492" s="23" t="s">
        <v>17</v>
      </c>
      <c r="E492" s="23" t="s">
        <v>116</v>
      </c>
      <c r="F492" s="23" t="s">
        <v>68</v>
      </c>
      <c r="G492" s="23" t="str">
        <f aca="false">IFERROR(INDEX(Products!$B$2:$B$13,MATCH(F492,Products!$A$2:$A$13,0)),"Unknown")</f>
        <v>Laptops</v>
      </c>
      <c r="H492" s="23" t="n">
        <v>1</v>
      </c>
      <c r="I492" s="25" t="n">
        <f aca="false">IFERROR(INDEX(Products!$C$2:$C$13,MATCH(F492,Products!$A$2:$A$13,0)),0)</f>
        <v>780</v>
      </c>
      <c r="J492" s="25" t="n">
        <f aca="false">H492*I492</f>
        <v>780</v>
      </c>
      <c r="K492" s="25" t="n">
        <f aca="false">IFERROR(INDEX(Products!$D$2:$D$13,MATCH(F492,Products!$A$2:$A$13,0)),0)</f>
        <v>590</v>
      </c>
      <c r="L492" s="25" t="n">
        <f aca="false">H492*K492</f>
        <v>590</v>
      </c>
      <c r="M492" s="25" t="n">
        <f aca="false">J492-L492</f>
        <v>190</v>
      </c>
    </row>
    <row r="493" customFormat="false" ht="15" hidden="false" customHeight="false" outlineLevel="0" collapsed="false">
      <c r="A493" s="23" t="s">
        <v>577</v>
      </c>
      <c r="B493" s="24" t="n">
        <v>45984</v>
      </c>
      <c r="C493" s="23" t="n">
        <f aca="false">MONTH(B493)</f>
        <v>11</v>
      </c>
      <c r="D493" s="23" t="s">
        <v>19</v>
      </c>
      <c r="E493" s="23" t="s">
        <v>70</v>
      </c>
      <c r="F493" s="23" t="s">
        <v>79</v>
      </c>
      <c r="G493" s="23" t="str">
        <f aca="false">IFERROR(INDEX(Products!$B$2:$B$13,MATCH(F493,Products!$A$2:$A$13,0)),"Unknown")</f>
        <v>Accessories</v>
      </c>
      <c r="H493" s="23" t="n">
        <v>9</v>
      </c>
      <c r="I493" s="25" t="n">
        <f aca="false">IFERROR(INDEX(Products!$C$2:$C$13,MATCH(F493,Products!$A$2:$A$13,0)),0)</f>
        <v>190</v>
      </c>
      <c r="J493" s="25" t="n">
        <f aca="false">H493*I493</f>
        <v>1710</v>
      </c>
      <c r="K493" s="25" t="n">
        <f aca="false">IFERROR(INDEX(Products!$D$2:$D$13,MATCH(F493,Products!$A$2:$A$13,0)),0)</f>
        <v>115</v>
      </c>
      <c r="L493" s="25" t="n">
        <f aca="false">H493*K493</f>
        <v>1035</v>
      </c>
      <c r="M493" s="25" t="n">
        <f aca="false">J493-L493</f>
        <v>675</v>
      </c>
    </row>
    <row r="494" customFormat="false" ht="15" hidden="false" customHeight="false" outlineLevel="0" collapsed="false">
      <c r="A494" s="23" t="s">
        <v>578</v>
      </c>
      <c r="B494" s="24" t="n">
        <v>45986</v>
      </c>
      <c r="C494" s="23" t="n">
        <f aca="false">MONTH(B494)</f>
        <v>11</v>
      </c>
      <c r="D494" s="23" t="s">
        <v>21</v>
      </c>
      <c r="E494" s="23" t="s">
        <v>87</v>
      </c>
      <c r="F494" s="23" t="s">
        <v>104</v>
      </c>
      <c r="G494" s="23" t="str">
        <f aca="false">IFERROR(INDEX(Products!$B$2:$B$13,MATCH(F494,Products!$A$2:$A$13,0)),"Unknown")</f>
        <v>Phones</v>
      </c>
      <c r="H494" s="23" t="n">
        <v>3</v>
      </c>
      <c r="I494" s="25" t="n">
        <f aca="false">IFERROR(INDEX(Products!$C$2:$C$13,MATCH(F494,Products!$A$2:$A$13,0)),0)</f>
        <v>290</v>
      </c>
      <c r="J494" s="25" t="n">
        <f aca="false">H494*I494</f>
        <v>870</v>
      </c>
      <c r="K494" s="25" t="n">
        <f aca="false">IFERROR(INDEX(Products!$D$2:$D$13,MATCH(F494,Products!$A$2:$A$13,0)),0)</f>
        <v>205</v>
      </c>
      <c r="L494" s="25" t="n">
        <f aca="false">H494*K494</f>
        <v>615</v>
      </c>
      <c r="M494" s="25" t="n">
        <f aca="false">J494-L494</f>
        <v>255</v>
      </c>
    </row>
    <row r="495" customFormat="false" ht="15" hidden="false" customHeight="false" outlineLevel="0" collapsed="false">
      <c r="A495" s="23" t="s">
        <v>579</v>
      </c>
      <c r="B495" s="24" t="n">
        <v>45986</v>
      </c>
      <c r="C495" s="23" t="n">
        <f aca="false">MONTH(B495)</f>
        <v>11</v>
      </c>
      <c r="D495" s="23" t="s">
        <v>23</v>
      </c>
      <c r="E495" s="23" t="s">
        <v>77</v>
      </c>
      <c r="F495" s="23" t="s">
        <v>74</v>
      </c>
      <c r="G495" s="23" t="str">
        <f aca="false">IFERROR(INDEX(Products!$B$2:$B$13,MATCH(F495,Products!$A$2:$A$13,0)),"Unknown")</f>
        <v>Monitors</v>
      </c>
      <c r="H495" s="23" t="n">
        <v>2</v>
      </c>
      <c r="I495" s="25" t="n">
        <f aca="false">IFERROR(INDEX(Products!$C$2:$C$13,MATCH(F495,Products!$A$2:$A$13,0)),0)</f>
        <v>310</v>
      </c>
      <c r="J495" s="25" t="n">
        <f aca="false">H495*I495</f>
        <v>620</v>
      </c>
      <c r="K495" s="25" t="n">
        <f aca="false">IFERROR(INDEX(Products!$D$2:$D$13,MATCH(F495,Products!$A$2:$A$13,0)),0)</f>
        <v>225</v>
      </c>
      <c r="L495" s="25" t="n">
        <f aca="false">H495*K495</f>
        <v>450</v>
      </c>
      <c r="M495" s="25" t="n">
        <f aca="false">J495-L495</f>
        <v>170</v>
      </c>
    </row>
    <row r="496" customFormat="false" ht="15" hidden="false" customHeight="false" outlineLevel="0" collapsed="false">
      <c r="A496" s="23" t="s">
        <v>580</v>
      </c>
      <c r="B496" s="24" t="n">
        <v>45986</v>
      </c>
      <c r="C496" s="23" t="n">
        <f aca="false">MONTH(B496)</f>
        <v>11</v>
      </c>
      <c r="D496" s="23" t="s">
        <v>17</v>
      </c>
      <c r="E496" s="23" t="s">
        <v>67</v>
      </c>
      <c r="F496" s="23" t="s">
        <v>79</v>
      </c>
      <c r="G496" s="23" t="str">
        <f aca="false">IFERROR(INDEX(Products!$B$2:$B$13,MATCH(F496,Products!$A$2:$A$13,0)),"Unknown")</f>
        <v>Accessories</v>
      </c>
      <c r="H496" s="23" t="n">
        <v>6</v>
      </c>
      <c r="I496" s="25" t="n">
        <f aca="false">IFERROR(INDEX(Products!$C$2:$C$13,MATCH(F496,Products!$A$2:$A$13,0)),0)</f>
        <v>190</v>
      </c>
      <c r="J496" s="25" t="n">
        <f aca="false">H496*I496</f>
        <v>1140</v>
      </c>
      <c r="K496" s="25" t="n">
        <f aca="false">IFERROR(INDEX(Products!$D$2:$D$13,MATCH(F496,Products!$A$2:$A$13,0)),0)</f>
        <v>115</v>
      </c>
      <c r="L496" s="25" t="n">
        <f aca="false">H496*K496</f>
        <v>690</v>
      </c>
      <c r="M496" s="25" t="n">
        <f aca="false">J496-L496</f>
        <v>450</v>
      </c>
    </row>
    <row r="497" customFormat="false" ht="15" hidden="false" customHeight="false" outlineLevel="0" collapsed="false">
      <c r="A497" s="23" t="s">
        <v>581</v>
      </c>
      <c r="B497" s="24" t="n">
        <v>45987</v>
      </c>
      <c r="C497" s="23" t="n">
        <f aca="false">MONTH(B497)</f>
        <v>11</v>
      </c>
      <c r="D497" s="23" t="s">
        <v>21</v>
      </c>
      <c r="E497" s="23" t="s">
        <v>90</v>
      </c>
      <c r="F497" s="23" t="s">
        <v>79</v>
      </c>
      <c r="G497" s="23" t="str">
        <f aca="false">IFERROR(INDEX(Products!$B$2:$B$13,MATCH(F497,Products!$A$2:$A$13,0)),"Unknown")</f>
        <v>Accessories</v>
      </c>
      <c r="H497" s="23" t="n">
        <v>12</v>
      </c>
      <c r="I497" s="25" t="n">
        <f aca="false">IFERROR(INDEX(Products!$C$2:$C$13,MATCH(F497,Products!$A$2:$A$13,0)),0)</f>
        <v>190</v>
      </c>
      <c r="J497" s="25" t="n">
        <f aca="false">H497*I497</f>
        <v>2280</v>
      </c>
      <c r="K497" s="25" t="n">
        <f aca="false">IFERROR(INDEX(Products!$D$2:$D$13,MATCH(F497,Products!$A$2:$A$13,0)),0)</f>
        <v>115</v>
      </c>
      <c r="L497" s="25" t="n">
        <f aca="false">H497*K497</f>
        <v>1380</v>
      </c>
      <c r="M497" s="25" t="n">
        <f aca="false">J497-L497</f>
        <v>900</v>
      </c>
    </row>
    <row r="498" customFormat="false" ht="15" hidden="false" customHeight="false" outlineLevel="0" collapsed="false">
      <c r="A498" s="23" t="s">
        <v>582</v>
      </c>
      <c r="B498" s="24" t="n">
        <v>45988</v>
      </c>
      <c r="C498" s="23" t="n">
        <f aca="false">MONTH(B498)</f>
        <v>11</v>
      </c>
      <c r="D498" s="23" t="s">
        <v>17</v>
      </c>
      <c r="E498" s="23" t="s">
        <v>67</v>
      </c>
      <c r="F498" s="23" t="s">
        <v>74</v>
      </c>
      <c r="G498" s="23" t="str">
        <f aca="false">IFERROR(INDEX(Products!$B$2:$B$13,MATCH(F498,Products!$A$2:$A$13,0)),"Unknown")</f>
        <v>Monitors</v>
      </c>
      <c r="H498" s="23" t="n">
        <v>1</v>
      </c>
      <c r="I498" s="25" t="n">
        <f aca="false">IFERROR(INDEX(Products!$C$2:$C$13,MATCH(F498,Products!$A$2:$A$13,0)),0)</f>
        <v>310</v>
      </c>
      <c r="J498" s="25" t="n">
        <f aca="false">H498*I498</f>
        <v>310</v>
      </c>
      <c r="K498" s="25" t="n">
        <f aca="false">IFERROR(INDEX(Products!$D$2:$D$13,MATCH(F498,Products!$A$2:$A$13,0)),0)</f>
        <v>225</v>
      </c>
      <c r="L498" s="25" t="n">
        <f aca="false">H498*K498</f>
        <v>225</v>
      </c>
      <c r="M498" s="25" t="n">
        <f aca="false">J498-L498</f>
        <v>85</v>
      </c>
    </row>
    <row r="499" customFormat="false" ht="15" hidden="false" customHeight="false" outlineLevel="0" collapsed="false">
      <c r="A499" s="23" t="s">
        <v>583</v>
      </c>
      <c r="B499" s="24" t="n">
        <v>45989</v>
      </c>
      <c r="C499" s="23" t="n">
        <f aca="false">MONTH(B499)</f>
        <v>11</v>
      </c>
      <c r="D499" s="23" t="s">
        <v>19</v>
      </c>
      <c r="E499" s="23" t="s">
        <v>70</v>
      </c>
      <c r="F499" s="23" t="s">
        <v>104</v>
      </c>
      <c r="G499" s="23" t="str">
        <f aca="false">IFERROR(INDEX(Products!$B$2:$B$13,MATCH(F499,Products!$A$2:$A$13,0)),"Unknown")</f>
        <v>Phones</v>
      </c>
      <c r="H499" s="23" t="n">
        <v>1</v>
      </c>
      <c r="I499" s="25" t="n">
        <f aca="false">IFERROR(INDEX(Products!$C$2:$C$13,MATCH(F499,Products!$A$2:$A$13,0)),0)</f>
        <v>290</v>
      </c>
      <c r="J499" s="25" t="n">
        <f aca="false">H499*I499</f>
        <v>290</v>
      </c>
      <c r="K499" s="25" t="n">
        <f aca="false">IFERROR(INDEX(Products!$D$2:$D$13,MATCH(F499,Products!$A$2:$A$13,0)),0)</f>
        <v>205</v>
      </c>
      <c r="L499" s="25" t="n">
        <f aca="false">H499*K499</f>
        <v>205</v>
      </c>
      <c r="M499" s="25" t="n">
        <f aca="false">J499-L499</f>
        <v>85</v>
      </c>
    </row>
    <row r="500" customFormat="false" ht="15" hidden="false" customHeight="false" outlineLevel="0" collapsed="false">
      <c r="A500" s="23" t="s">
        <v>584</v>
      </c>
      <c r="B500" s="24" t="n">
        <v>45989</v>
      </c>
      <c r="C500" s="23" t="n">
        <f aca="false">MONTH(B500)</f>
        <v>11</v>
      </c>
      <c r="D500" s="23" t="s">
        <v>21</v>
      </c>
      <c r="E500" s="23" t="s">
        <v>90</v>
      </c>
      <c r="F500" s="23" t="s">
        <v>68</v>
      </c>
      <c r="G500" s="23" t="str">
        <f aca="false">IFERROR(INDEX(Products!$B$2:$B$13,MATCH(F500,Products!$A$2:$A$13,0)),"Unknown")</f>
        <v>Laptops</v>
      </c>
      <c r="H500" s="23" t="n">
        <v>2</v>
      </c>
      <c r="I500" s="25" t="n">
        <f aca="false">IFERROR(INDEX(Products!$C$2:$C$13,MATCH(F500,Products!$A$2:$A$13,0)),0)</f>
        <v>780</v>
      </c>
      <c r="J500" s="25" t="n">
        <f aca="false">H500*I500</f>
        <v>1560</v>
      </c>
      <c r="K500" s="25" t="n">
        <f aca="false">IFERROR(INDEX(Products!$D$2:$D$13,MATCH(F500,Products!$A$2:$A$13,0)),0)</f>
        <v>590</v>
      </c>
      <c r="L500" s="25" t="n">
        <f aca="false">H500*K500</f>
        <v>1180</v>
      </c>
      <c r="M500" s="25" t="n">
        <f aca="false">J500-L500</f>
        <v>380</v>
      </c>
    </row>
    <row r="501" customFormat="false" ht="15" hidden="false" customHeight="false" outlineLevel="0" collapsed="false">
      <c r="A501" s="23" t="s">
        <v>585</v>
      </c>
      <c r="B501" s="24" t="n">
        <v>45989</v>
      </c>
      <c r="C501" s="23" t="n">
        <f aca="false">MONTH(B501)</f>
        <v>11</v>
      </c>
      <c r="D501" s="23" t="s">
        <v>23</v>
      </c>
      <c r="E501" s="23" t="s">
        <v>77</v>
      </c>
      <c r="F501" s="23" t="s">
        <v>88</v>
      </c>
      <c r="G501" s="23" t="str">
        <f aca="false">IFERROR(INDEX(Products!$B$2:$B$13,MATCH(F501,Products!$A$2:$A$13,0)),"Unknown")</f>
        <v>Accessories</v>
      </c>
      <c r="H501" s="23" t="n">
        <v>9</v>
      </c>
      <c r="I501" s="25" t="n">
        <f aca="false">IFERROR(INDEX(Products!$C$2:$C$13,MATCH(F501,Products!$A$2:$A$13,0)),0)</f>
        <v>85</v>
      </c>
      <c r="J501" s="25" t="n">
        <f aca="false">H501*I501</f>
        <v>765</v>
      </c>
      <c r="K501" s="25" t="n">
        <f aca="false">IFERROR(INDEX(Products!$D$2:$D$13,MATCH(F501,Products!$A$2:$A$13,0)),0)</f>
        <v>38</v>
      </c>
      <c r="L501" s="25" t="n">
        <f aca="false">H501*K501</f>
        <v>342</v>
      </c>
      <c r="M501" s="25" t="n">
        <f aca="false">J501-L501</f>
        <v>423</v>
      </c>
    </row>
    <row r="502" customFormat="false" ht="15" hidden="false" customHeight="false" outlineLevel="0" collapsed="false">
      <c r="A502" s="23" t="s">
        <v>586</v>
      </c>
      <c r="B502" s="24" t="n">
        <v>45989</v>
      </c>
      <c r="C502" s="23" t="n">
        <f aca="false">MONTH(B502)</f>
        <v>11</v>
      </c>
      <c r="D502" s="23" t="s">
        <v>23</v>
      </c>
      <c r="E502" s="23" t="s">
        <v>85</v>
      </c>
      <c r="F502" s="23" t="s">
        <v>81</v>
      </c>
      <c r="G502" s="23" t="str">
        <f aca="false">IFERROR(INDEX(Products!$B$2:$B$13,MATCH(F502,Products!$A$2:$A$13,0)),"Unknown")</f>
        <v>Laptops</v>
      </c>
      <c r="H502" s="23" t="n">
        <v>4</v>
      </c>
      <c r="I502" s="25" t="n">
        <f aca="false">IFERROR(INDEX(Products!$C$2:$C$13,MATCH(F502,Products!$A$2:$A$13,0)),0)</f>
        <v>950</v>
      </c>
      <c r="J502" s="25" t="n">
        <f aca="false">H502*I502</f>
        <v>3800</v>
      </c>
      <c r="K502" s="25" t="n">
        <f aca="false">IFERROR(INDEX(Products!$D$2:$D$13,MATCH(F502,Products!$A$2:$A$13,0)),0)</f>
        <v>720</v>
      </c>
      <c r="L502" s="25" t="n">
        <f aca="false">H502*K502</f>
        <v>2880</v>
      </c>
      <c r="M502" s="25" t="n">
        <f aca="false">J502-L502</f>
        <v>920</v>
      </c>
    </row>
    <row r="503" customFormat="false" ht="15" hidden="false" customHeight="false" outlineLevel="0" collapsed="false">
      <c r="A503" s="23" t="s">
        <v>587</v>
      </c>
      <c r="B503" s="24" t="n">
        <v>45992</v>
      </c>
      <c r="C503" s="23" t="n">
        <f aca="false">MONTH(B503)</f>
        <v>12</v>
      </c>
      <c r="D503" s="23" t="s">
        <v>17</v>
      </c>
      <c r="E503" s="23" t="s">
        <v>116</v>
      </c>
      <c r="F503" s="23" t="s">
        <v>79</v>
      </c>
      <c r="G503" s="23" t="str">
        <f aca="false">IFERROR(INDEX(Products!$B$2:$B$13,MATCH(F503,Products!$A$2:$A$13,0)),"Unknown")</f>
        <v>Accessories</v>
      </c>
      <c r="H503" s="23" t="n">
        <v>3</v>
      </c>
      <c r="I503" s="25" t="n">
        <f aca="false">IFERROR(INDEX(Products!$C$2:$C$13,MATCH(F503,Products!$A$2:$A$13,0)),0)</f>
        <v>190</v>
      </c>
      <c r="J503" s="25" t="n">
        <f aca="false">H503*I503</f>
        <v>570</v>
      </c>
      <c r="K503" s="25" t="n">
        <f aca="false">IFERROR(INDEX(Products!$D$2:$D$13,MATCH(F503,Products!$A$2:$A$13,0)),0)</f>
        <v>115</v>
      </c>
      <c r="L503" s="25" t="n">
        <f aca="false">H503*K503</f>
        <v>345</v>
      </c>
      <c r="M503" s="25" t="n">
        <f aca="false">J503-L503</f>
        <v>225</v>
      </c>
    </row>
    <row r="504" customFormat="false" ht="15" hidden="false" customHeight="false" outlineLevel="0" collapsed="false">
      <c r="A504" s="23" t="s">
        <v>588</v>
      </c>
      <c r="B504" s="24" t="n">
        <v>45993</v>
      </c>
      <c r="C504" s="23" t="n">
        <f aca="false">MONTH(B504)</f>
        <v>12</v>
      </c>
      <c r="D504" s="23" t="s">
        <v>21</v>
      </c>
      <c r="E504" s="23" t="s">
        <v>90</v>
      </c>
      <c r="F504" s="23" t="s">
        <v>83</v>
      </c>
      <c r="G504" s="23" t="str">
        <f aca="false">IFERROR(INDEX(Products!$B$2:$B$13,MATCH(F504,Products!$A$2:$A$13,0)),"Unknown")</f>
        <v>Phones</v>
      </c>
      <c r="H504" s="23" t="n">
        <v>2</v>
      </c>
      <c r="I504" s="25" t="n">
        <f aca="false">IFERROR(INDEX(Products!$C$2:$C$13,MATCH(F504,Products!$A$2:$A$13,0)),0)</f>
        <v>640</v>
      </c>
      <c r="J504" s="25" t="n">
        <f aca="false">H504*I504</f>
        <v>1280</v>
      </c>
      <c r="K504" s="25" t="n">
        <f aca="false">IFERROR(INDEX(Products!$D$2:$D$13,MATCH(F504,Products!$A$2:$A$13,0)),0)</f>
        <v>470</v>
      </c>
      <c r="L504" s="25" t="n">
        <f aca="false">H504*K504</f>
        <v>940</v>
      </c>
      <c r="M504" s="25" t="n">
        <f aca="false">J504-L504</f>
        <v>340</v>
      </c>
    </row>
    <row r="505" customFormat="false" ht="15" hidden="false" customHeight="false" outlineLevel="0" collapsed="false">
      <c r="A505" s="23" t="s">
        <v>589</v>
      </c>
      <c r="B505" s="24" t="n">
        <v>45994</v>
      </c>
      <c r="C505" s="23" t="n">
        <f aca="false">MONTH(B505)</f>
        <v>12</v>
      </c>
      <c r="D505" s="23" t="s">
        <v>21</v>
      </c>
      <c r="E505" s="23" t="s">
        <v>90</v>
      </c>
      <c r="F505" s="23" t="s">
        <v>81</v>
      </c>
      <c r="G505" s="23" t="str">
        <f aca="false">IFERROR(INDEX(Products!$B$2:$B$13,MATCH(F505,Products!$A$2:$A$13,0)),"Unknown")</f>
        <v>Laptops</v>
      </c>
      <c r="H505" s="23" t="n">
        <v>1</v>
      </c>
      <c r="I505" s="25" t="n">
        <f aca="false">IFERROR(INDEX(Products!$C$2:$C$13,MATCH(F505,Products!$A$2:$A$13,0)),0)</f>
        <v>950</v>
      </c>
      <c r="J505" s="25" t="n">
        <f aca="false">H505*I505</f>
        <v>950</v>
      </c>
      <c r="K505" s="25" t="n">
        <f aca="false">IFERROR(INDEX(Products!$D$2:$D$13,MATCH(F505,Products!$A$2:$A$13,0)),0)</f>
        <v>720</v>
      </c>
      <c r="L505" s="25" t="n">
        <f aca="false">H505*K505</f>
        <v>720</v>
      </c>
      <c r="M505" s="25" t="n">
        <f aca="false">J505-L505</f>
        <v>230</v>
      </c>
    </row>
    <row r="506" customFormat="false" ht="15" hidden="false" customHeight="false" outlineLevel="0" collapsed="false">
      <c r="A506" s="23" t="s">
        <v>590</v>
      </c>
      <c r="B506" s="24" t="n">
        <v>45994</v>
      </c>
      <c r="C506" s="23" t="n">
        <f aca="false">MONTH(B506)</f>
        <v>12</v>
      </c>
      <c r="D506" s="23" t="s">
        <v>21</v>
      </c>
      <c r="E506" s="23" t="s">
        <v>90</v>
      </c>
      <c r="F506" s="23" t="s">
        <v>88</v>
      </c>
      <c r="G506" s="23" t="str">
        <f aca="false">IFERROR(INDEX(Products!$B$2:$B$13,MATCH(F506,Products!$A$2:$A$13,0)),"Unknown")</f>
        <v>Accessories</v>
      </c>
      <c r="H506" s="23" t="n">
        <v>3</v>
      </c>
      <c r="I506" s="25" t="n">
        <f aca="false">IFERROR(INDEX(Products!$C$2:$C$13,MATCH(F506,Products!$A$2:$A$13,0)),0)</f>
        <v>85</v>
      </c>
      <c r="J506" s="25" t="n">
        <f aca="false">H506*I506</f>
        <v>255</v>
      </c>
      <c r="K506" s="25" t="n">
        <f aca="false">IFERROR(INDEX(Products!$D$2:$D$13,MATCH(F506,Products!$A$2:$A$13,0)),0)</f>
        <v>38</v>
      </c>
      <c r="L506" s="25" t="n">
        <f aca="false">H506*K506</f>
        <v>114</v>
      </c>
      <c r="M506" s="25" t="n">
        <f aca="false">J506-L506</f>
        <v>141</v>
      </c>
    </row>
    <row r="507" customFormat="false" ht="15" hidden="false" customHeight="false" outlineLevel="0" collapsed="false">
      <c r="A507" s="23" t="s">
        <v>591</v>
      </c>
      <c r="B507" s="24" t="n">
        <v>45994</v>
      </c>
      <c r="C507" s="23" t="n">
        <f aca="false">MONTH(B507)</f>
        <v>12</v>
      </c>
      <c r="D507" s="23" t="s">
        <v>17</v>
      </c>
      <c r="E507" s="23" t="s">
        <v>116</v>
      </c>
      <c r="F507" s="23" t="s">
        <v>68</v>
      </c>
      <c r="G507" s="23" t="str">
        <f aca="false">IFERROR(INDEX(Products!$B$2:$B$13,MATCH(F507,Products!$A$2:$A$13,0)),"Unknown")</f>
        <v>Laptops</v>
      </c>
      <c r="H507" s="23" t="n">
        <v>3</v>
      </c>
      <c r="I507" s="25" t="n">
        <f aca="false">IFERROR(INDEX(Products!$C$2:$C$13,MATCH(F507,Products!$A$2:$A$13,0)),0)</f>
        <v>780</v>
      </c>
      <c r="J507" s="25" t="n">
        <f aca="false">H507*I507</f>
        <v>2340</v>
      </c>
      <c r="K507" s="25" t="n">
        <f aca="false">IFERROR(INDEX(Products!$D$2:$D$13,MATCH(F507,Products!$A$2:$A$13,0)),0)</f>
        <v>590</v>
      </c>
      <c r="L507" s="25" t="n">
        <f aca="false">H507*K507</f>
        <v>1770</v>
      </c>
      <c r="M507" s="25" t="n">
        <f aca="false">J507-L507</f>
        <v>570</v>
      </c>
    </row>
    <row r="508" customFormat="false" ht="15" hidden="false" customHeight="false" outlineLevel="0" collapsed="false">
      <c r="A508" s="23" t="s">
        <v>592</v>
      </c>
      <c r="B508" s="24" t="n">
        <v>45994</v>
      </c>
      <c r="C508" s="23" t="n">
        <f aca="false">MONTH(B508)</f>
        <v>12</v>
      </c>
      <c r="D508" s="23" t="s">
        <v>17</v>
      </c>
      <c r="E508" s="23" t="s">
        <v>116</v>
      </c>
      <c r="F508" s="23" t="s">
        <v>88</v>
      </c>
      <c r="G508" s="23" t="str">
        <f aca="false">IFERROR(INDEX(Products!$B$2:$B$13,MATCH(F508,Products!$A$2:$A$13,0)),"Unknown")</f>
        <v>Accessories</v>
      </c>
      <c r="H508" s="23" t="n">
        <v>3</v>
      </c>
      <c r="I508" s="25" t="n">
        <f aca="false">IFERROR(INDEX(Products!$C$2:$C$13,MATCH(F508,Products!$A$2:$A$13,0)),0)</f>
        <v>85</v>
      </c>
      <c r="J508" s="25" t="n">
        <f aca="false">H508*I508</f>
        <v>255</v>
      </c>
      <c r="K508" s="25" t="n">
        <f aca="false">IFERROR(INDEX(Products!$D$2:$D$13,MATCH(F508,Products!$A$2:$A$13,0)),0)</f>
        <v>38</v>
      </c>
      <c r="L508" s="25" t="n">
        <f aca="false">H508*K508</f>
        <v>114</v>
      </c>
      <c r="M508" s="25" t="n">
        <f aca="false">J508-L508</f>
        <v>141</v>
      </c>
    </row>
    <row r="509" customFormat="false" ht="15" hidden="false" customHeight="false" outlineLevel="0" collapsed="false">
      <c r="A509" s="23" t="s">
        <v>593</v>
      </c>
      <c r="B509" s="24" t="n">
        <v>45995</v>
      </c>
      <c r="C509" s="23" t="n">
        <f aca="false">MONTH(B509)</f>
        <v>12</v>
      </c>
      <c r="D509" s="23" t="s">
        <v>21</v>
      </c>
      <c r="E509" s="23" t="s">
        <v>90</v>
      </c>
      <c r="F509" s="23" t="s">
        <v>91</v>
      </c>
      <c r="G509" s="23" t="str">
        <f aca="false">IFERROR(INDEX(Products!$B$2:$B$13,MATCH(F509,Products!$A$2:$A$13,0)),"Unknown")</f>
        <v>Tablets</v>
      </c>
      <c r="H509" s="23" t="n">
        <v>1</v>
      </c>
      <c r="I509" s="25" t="n">
        <f aca="false">IFERROR(INDEX(Products!$C$2:$C$13,MATCH(F509,Products!$A$2:$A$13,0)),0)</f>
        <v>420</v>
      </c>
      <c r="J509" s="25" t="n">
        <f aca="false">H509*I509</f>
        <v>420</v>
      </c>
      <c r="K509" s="25" t="n">
        <f aca="false">IFERROR(INDEX(Products!$D$2:$D$13,MATCH(F509,Products!$A$2:$A$13,0)),0)</f>
        <v>300</v>
      </c>
      <c r="L509" s="25" t="n">
        <f aca="false">H509*K509</f>
        <v>300</v>
      </c>
      <c r="M509" s="25" t="n">
        <f aca="false">J509-L509</f>
        <v>120</v>
      </c>
    </row>
    <row r="510" customFormat="false" ht="15" hidden="false" customHeight="false" outlineLevel="0" collapsed="false">
      <c r="A510" s="23" t="s">
        <v>594</v>
      </c>
      <c r="B510" s="24" t="n">
        <v>45995</v>
      </c>
      <c r="C510" s="23" t="n">
        <f aca="false">MONTH(B510)</f>
        <v>12</v>
      </c>
      <c r="D510" s="23" t="s">
        <v>23</v>
      </c>
      <c r="E510" s="23" t="s">
        <v>85</v>
      </c>
      <c r="F510" s="23" t="s">
        <v>79</v>
      </c>
      <c r="G510" s="23" t="str">
        <f aca="false">IFERROR(INDEX(Products!$B$2:$B$13,MATCH(F510,Products!$A$2:$A$13,0)),"Unknown")</f>
        <v>Accessories</v>
      </c>
      <c r="H510" s="23" t="n">
        <v>15</v>
      </c>
      <c r="I510" s="25" t="n">
        <f aca="false">IFERROR(INDEX(Products!$C$2:$C$13,MATCH(F510,Products!$A$2:$A$13,0)),0)</f>
        <v>190</v>
      </c>
      <c r="J510" s="25" t="n">
        <f aca="false">H510*I510</f>
        <v>2850</v>
      </c>
      <c r="K510" s="25" t="n">
        <f aca="false">IFERROR(INDEX(Products!$D$2:$D$13,MATCH(F510,Products!$A$2:$A$13,0)),0)</f>
        <v>115</v>
      </c>
      <c r="L510" s="25" t="n">
        <f aca="false">H510*K510</f>
        <v>1725</v>
      </c>
      <c r="M510" s="25" t="n">
        <f aca="false">J510-L510</f>
        <v>1125</v>
      </c>
    </row>
    <row r="511" customFormat="false" ht="15" hidden="false" customHeight="false" outlineLevel="0" collapsed="false">
      <c r="A511" s="23" t="s">
        <v>595</v>
      </c>
      <c r="B511" s="24" t="n">
        <v>45995</v>
      </c>
      <c r="C511" s="23" t="n">
        <f aca="false">MONTH(B511)</f>
        <v>12</v>
      </c>
      <c r="D511" s="23" t="s">
        <v>19</v>
      </c>
      <c r="E511" s="23" t="s">
        <v>70</v>
      </c>
      <c r="F511" s="23" t="s">
        <v>91</v>
      </c>
      <c r="G511" s="23" t="str">
        <f aca="false">IFERROR(INDEX(Products!$B$2:$B$13,MATCH(F511,Products!$A$2:$A$13,0)),"Unknown")</f>
        <v>Tablets</v>
      </c>
      <c r="H511" s="23" t="n">
        <v>1</v>
      </c>
      <c r="I511" s="25" t="n">
        <f aca="false">IFERROR(INDEX(Products!$C$2:$C$13,MATCH(F511,Products!$A$2:$A$13,0)),0)</f>
        <v>420</v>
      </c>
      <c r="J511" s="25" t="n">
        <f aca="false">H511*I511</f>
        <v>420</v>
      </c>
      <c r="K511" s="25" t="n">
        <f aca="false">IFERROR(INDEX(Products!$D$2:$D$13,MATCH(F511,Products!$A$2:$A$13,0)),0)</f>
        <v>300</v>
      </c>
      <c r="L511" s="25" t="n">
        <f aca="false">H511*K511</f>
        <v>300</v>
      </c>
      <c r="M511" s="25" t="n">
        <f aca="false">J511-L511</f>
        <v>120</v>
      </c>
    </row>
    <row r="512" customFormat="false" ht="15" hidden="false" customHeight="false" outlineLevel="0" collapsed="false">
      <c r="A512" s="23" t="s">
        <v>596</v>
      </c>
      <c r="B512" s="24" t="n">
        <v>45996</v>
      </c>
      <c r="C512" s="23" t="n">
        <f aca="false">MONTH(B512)</f>
        <v>12</v>
      </c>
      <c r="D512" s="23" t="s">
        <v>19</v>
      </c>
      <c r="E512" s="23" t="s">
        <v>70</v>
      </c>
      <c r="F512" s="23" t="s">
        <v>71</v>
      </c>
      <c r="G512" s="23" t="str">
        <f aca="false">IFERROR(INDEX(Products!$B$2:$B$13,MATCH(F512,Products!$A$2:$A$13,0)),"Unknown")</f>
        <v>Accessories</v>
      </c>
      <c r="H512" s="23" t="n">
        <v>15</v>
      </c>
      <c r="I512" s="25" t="n">
        <f aca="false">IFERROR(INDEX(Products!$C$2:$C$13,MATCH(F512,Products!$A$2:$A$13,0)),0)</f>
        <v>45</v>
      </c>
      <c r="J512" s="25" t="n">
        <f aca="false">H512*I512</f>
        <v>675</v>
      </c>
      <c r="K512" s="25" t="n">
        <f aca="false">IFERROR(INDEX(Products!$D$2:$D$13,MATCH(F512,Products!$A$2:$A$13,0)),0)</f>
        <v>18</v>
      </c>
      <c r="L512" s="25" t="n">
        <f aca="false">H512*K512</f>
        <v>270</v>
      </c>
      <c r="M512" s="25" t="n">
        <f aca="false">J512-L512</f>
        <v>405</v>
      </c>
    </row>
    <row r="513" customFormat="false" ht="15" hidden="false" customHeight="false" outlineLevel="0" collapsed="false">
      <c r="A513" s="23" t="s">
        <v>597</v>
      </c>
      <c r="B513" s="24" t="n">
        <v>45996</v>
      </c>
      <c r="C513" s="23" t="n">
        <f aca="false">MONTH(B513)</f>
        <v>12</v>
      </c>
      <c r="D513" s="23" t="s">
        <v>23</v>
      </c>
      <c r="E513" s="23" t="s">
        <v>77</v>
      </c>
      <c r="F513" s="23" t="s">
        <v>74</v>
      </c>
      <c r="G513" s="23" t="str">
        <f aca="false">IFERROR(INDEX(Products!$B$2:$B$13,MATCH(F513,Products!$A$2:$A$13,0)),"Unknown")</f>
        <v>Monitors</v>
      </c>
      <c r="H513" s="23" t="n">
        <v>2</v>
      </c>
      <c r="I513" s="25" t="n">
        <f aca="false">IFERROR(INDEX(Products!$C$2:$C$13,MATCH(F513,Products!$A$2:$A$13,0)),0)</f>
        <v>310</v>
      </c>
      <c r="J513" s="25" t="n">
        <f aca="false">H513*I513</f>
        <v>620</v>
      </c>
      <c r="K513" s="25" t="n">
        <f aca="false">IFERROR(INDEX(Products!$D$2:$D$13,MATCH(F513,Products!$A$2:$A$13,0)),0)</f>
        <v>225</v>
      </c>
      <c r="L513" s="25" t="n">
        <f aca="false">H513*K513</f>
        <v>450</v>
      </c>
      <c r="M513" s="25" t="n">
        <f aca="false">J513-L513</f>
        <v>170</v>
      </c>
    </row>
    <row r="514" customFormat="false" ht="15" hidden="false" customHeight="false" outlineLevel="0" collapsed="false">
      <c r="A514" s="23" t="s">
        <v>598</v>
      </c>
      <c r="B514" s="24" t="n">
        <v>45996</v>
      </c>
      <c r="C514" s="23" t="n">
        <f aca="false">MONTH(B514)</f>
        <v>12</v>
      </c>
      <c r="D514" s="23" t="s">
        <v>23</v>
      </c>
      <c r="E514" s="23" t="s">
        <v>77</v>
      </c>
      <c r="F514" s="23" t="s">
        <v>79</v>
      </c>
      <c r="G514" s="23" t="str">
        <f aca="false">IFERROR(INDEX(Products!$B$2:$B$13,MATCH(F514,Products!$A$2:$A$13,0)),"Unknown")</f>
        <v>Accessories</v>
      </c>
      <c r="H514" s="23" t="n">
        <v>3</v>
      </c>
      <c r="I514" s="25" t="n">
        <f aca="false">IFERROR(INDEX(Products!$C$2:$C$13,MATCH(F514,Products!$A$2:$A$13,0)),0)</f>
        <v>190</v>
      </c>
      <c r="J514" s="25" t="n">
        <f aca="false">H514*I514</f>
        <v>570</v>
      </c>
      <c r="K514" s="25" t="n">
        <f aca="false">IFERROR(INDEX(Products!$D$2:$D$13,MATCH(F514,Products!$A$2:$A$13,0)),0)</f>
        <v>115</v>
      </c>
      <c r="L514" s="25" t="n">
        <f aca="false">H514*K514</f>
        <v>345</v>
      </c>
      <c r="M514" s="25" t="n">
        <f aca="false">J514-L514</f>
        <v>225</v>
      </c>
    </row>
    <row r="515" customFormat="false" ht="15" hidden="false" customHeight="false" outlineLevel="0" collapsed="false">
      <c r="A515" s="23" t="s">
        <v>599</v>
      </c>
      <c r="B515" s="24" t="n">
        <v>45997</v>
      </c>
      <c r="C515" s="23" t="n">
        <f aca="false">MONTH(B515)</f>
        <v>12</v>
      </c>
      <c r="D515" s="23" t="s">
        <v>17</v>
      </c>
      <c r="E515" s="23" t="s">
        <v>116</v>
      </c>
      <c r="F515" s="23" t="s">
        <v>88</v>
      </c>
      <c r="G515" s="23" t="str">
        <f aca="false">IFERROR(INDEX(Products!$B$2:$B$13,MATCH(F515,Products!$A$2:$A$13,0)),"Unknown")</f>
        <v>Accessories</v>
      </c>
      <c r="H515" s="23" t="n">
        <v>6</v>
      </c>
      <c r="I515" s="25" t="n">
        <f aca="false">IFERROR(INDEX(Products!$C$2:$C$13,MATCH(F515,Products!$A$2:$A$13,0)),0)</f>
        <v>85</v>
      </c>
      <c r="J515" s="25" t="n">
        <f aca="false">H515*I515</f>
        <v>510</v>
      </c>
      <c r="K515" s="25" t="n">
        <f aca="false">IFERROR(INDEX(Products!$D$2:$D$13,MATCH(F515,Products!$A$2:$A$13,0)),0)</f>
        <v>38</v>
      </c>
      <c r="L515" s="25" t="n">
        <f aca="false">H515*K515</f>
        <v>228</v>
      </c>
      <c r="M515" s="25" t="n">
        <f aca="false">J515-L515</f>
        <v>282</v>
      </c>
    </row>
    <row r="516" customFormat="false" ht="15" hidden="false" customHeight="false" outlineLevel="0" collapsed="false">
      <c r="A516" s="23" t="s">
        <v>600</v>
      </c>
      <c r="B516" s="24" t="n">
        <v>45998</v>
      </c>
      <c r="C516" s="23" t="n">
        <f aca="false">MONTH(B516)</f>
        <v>12</v>
      </c>
      <c r="D516" s="23" t="s">
        <v>19</v>
      </c>
      <c r="E516" s="23" t="s">
        <v>73</v>
      </c>
      <c r="F516" s="23" t="s">
        <v>71</v>
      </c>
      <c r="G516" s="23" t="str">
        <f aca="false">IFERROR(INDEX(Products!$B$2:$B$13,MATCH(F516,Products!$A$2:$A$13,0)),"Unknown")</f>
        <v>Accessories</v>
      </c>
      <c r="H516" s="23" t="n">
        <v>6</v>
      </c>
      <c r="I516" s="25" t="n">
        <f aca="false">IFERROR(INDEX(Products!$C$2:$C$13,MATCH(F516,Products!$A$2:$A$13,0)),0)</f>
        <v>45</v>
      </c>
      <c r="J516" s="25" t="n">
        <f aca="false">H516*I516</f>
        <v>270</v>
      </c>
      <c r="K516" s="25" t="n">
        <f aca="false">IFERROR(INDEX(Products!$D$2:$D$13,MATCH(F516,Products!$A$2:$A$13,0)),0)</f>
        <v>18</v>
      </c>
      <c r="L516" s="25" t="n">
        <f aca="false">H516*K516</f>
        <v>108</v>
      </c>
      <c r="M516" s="25" t="n">
        <f aca="false">J516-L516</f>
        <v>162</v>
      </c>
    </row>
    <row r="517" customFormat="false" ht="15" hidden="false" customHeight="false" outlineLevel="0" collapsed="false">
      <c r="A517" s="23" t="s">
        <v>601</v>
      </c>
      <c r="B517" s="24" t="n">
        <v>45999</v>
      </c>
      <c r="C517" s="23" t="n">
        <f aca="false">MONTH(B517)</f>
        <v>12</v>
      </c>
      <c r="D517" s="23" t="s">
        <v>19</v>
      </c>
      <c r="E517" s="23" t="s">
        <v>70</v>
      </c>
      <c r="F517" s="23" t="s">
        <v>91</v>
      </c>
      <c r="G517" s="23" t="str">
        <f aca="false">IFERROR(INDEX(Products!$B$2:$B$13,MATCH(F517,Products!$A$2:$A$13,0)),"Unknown")</f>
        <v>Tablets</v>
      </c>
      <c r="H517" s="23" t="n">
        <v>4</v>
      </c>
      <c r="I517" s="25" t="n">
        <f aca="false">IFERROR(INDEX(Products!$C$2:$C$13,MATCH(F517,Products!$A$2:$A$13,0)),0)</f>
        <v>420</v>
      </c>
      <c r="J517" s="25" t="n">
        <f aca="false">H517*I517</f>
        <v>1680</v>
      </c>
      <c r="K517" s="25" t="n">
        <f aca="false">IFERROR(INDEX(Products!$D$2:$D$13,MATCH(F517,Products!$A$2:$A$13,0)),0)</f>
        <v>300</v>
      </c>
      <c r="L517" s="25" t="n">
        <f aca="false">H517*K517</f>
        <v>1200</v>
      </c>
      <c r="M517" s="25" t="n">
        <f aca="false">J517-L517</f>
        <v>480</v>
      </c>
    </row>
    <row r="518" customFormat="false" ht="15" hidden="false" customHeight="false" outlineLevel="0" collapsed="false">
      <c r="A518" s="23" t="s">
        <v>602</v>
      </c>
      <c r="B518" s="24" t="n">
        <v>45999</v>
      </c>
      <c r="C518" s="23" t="n">
        <f aca="false">MONTH(B518)</f>
        <v>12</v>
      </c>
      <c r="D518" s="23" t="s">
        <v>21</v>
      </c>
      <c r="E518" s="23" t="s">
        <v>90</v>
      </c>
      <c r="F518" s="23" t="s">
        <v>68</v>
      </c>
      <c r="G518" s="23" t="str">
        <f aca="false">IFERROR(INDEX(Products!$B$2:$B$13,MATCH(F518,Products!$A$2:$A$13,0)),"Unknown")</f>
        <v>Laptops</v>
      </c>
      <c r="H518" s="23" t="n">
        <v>3</v>
      </c>
      <c r="I518" s="25" t="n">
        <f aca="false">IFERROR(INDEX(Products!$C$2:$C$13,MATCH(F518,Products!$A$2:$A$13,0)),0)</f>
        <v>780</v>
      </c>
      <c r="J518" s="25" t="n">
        <f aca="false">H518*I518</f>
        <v>2340</v>
      </c>
      <c r="K518" s="25" t="n">
        <f aca="false">IFERROR(INDEX(Products!$D$2:$D$13,MATCH(F518,Products!$A$2:$A$13,0)),0)</f>
        <v>590</v>
      </c>
      <c r="L518" s="25" t="n">
        <f aca="false">H518*K518</f>
        <v>1770</v>
      </c>
      <c r="M518" s="25" t="n">
        <f aca="false">J518-L518</f>
        <v>570</v>
      </c>
    </row>
    <row r="519" customFormat="false" ht="15" hidden="false" customHeight="false" outlineLevel="0" collapsed="false">
      <c r="A519" s="23" t="s">
        <v>603</v>
      </c>
      <c r="B519" s="24" t="n">
        <v>46000</v>
      </c>
      <c r="C519" s="23" t="n">
        <f aca="false">MONTH(B519)</f>
        <v>12</v>
      </c>
      <c r="D519" s="23" t="s">
        <v>19</v>
      </c>
      <c r="E519" s="23" t="s">
        <v>73</v>
      </c>
      <c r="F519" s="23" t="s">
        <v>79</v>
      </c>
      <c r="G519" s="23" t="str">
        <f aca="false">IFERROR(INDEX(Products!$B$2:$B$13,MATCH(F519,Products!$A$2:$A$13,0)),"Unknown")</f>
        <v>Accessories</v>
      </c>
      <c r="H519" s="23" t="n">
        <v>12</v>
      </c>
      <c r="I519" s="25" t="n">
        <f aca="false">IFERROR(INDEX(Products!$C$2:$C$13,MATCH(F519,Products!$A$2:$A$13,0)),0)</f>
        <v>190</v>
      </c>
      <c r="J519" s="25" t="n">
        <f aca="false">H519*I519</f>
        <v>2280</v>
      </c>
      <c r="K519" s="25" t="n">
        <f aca="false">IFERROR(INDEX(Products!$D$2:$D$13,MATCH(F519,Products!$A$2:$A$13,0)),0)</f>
        <v>115</v>
      </c>
      <c r="L519" s="25" t="n">
        <f aca="false">H519*K519</f>
        <v>1380</v>
      </c>
      <c r="M519" s="25" t="n">
        <f aca="false">J519-L519</f>
        <v>900</v>
      </c>
    </row>
    <row r="520" customFormat="false" ht="15" hidden="false" customHeight="false" outlineLevel="0" collapsed="false">
      <c r="A520" s="23" t="s">
        <v>604</v>
      </c>
      <c r="B520" s="24" t="n">
        <v>46000</v>
      </c>
      <c r="C520" s="23" t="n">
        <f aca="false">MONTH(B520)</f>
        <v>12</v>
      </c>
      <c r="D520" s="23" t="s">
        <v>17</v>
      </c>
      <c r="E520" s="23" t="s">
        <v>116</v>
      </c>
      <c r="F520" s="23" t="s">
        <v>88</v>
      </c>
      <c r="G520" s="23" t="str">
        <f aca="false">IFERROR(INDEX(Products!$B$2:$B$13,MATCH(F520,Products!$A$2:$A$13,0)),"Unknown")</f>
        <v>Accessories</v>
      </c>
      <c r="H520" s="23" t="n">
        <v>3</v>
      </c>
      <c r="I520" s="25" t="n">
        <f aca="false">IFERROR(INDEX(Products!$C$2:$C$13,MATCH(F520,Products!$A$2:$A$13,0)),0)</f>
        <v>85</v>
      </c>
      <c r="J520" s="25" t="n">
        <f aca="false">H520*I520</f>
        <v>255</v>
      </c>
      <c r="K520" s="25" t="n">
        <f aca="false">IFERROR(INDEX(Products!$D$2:$D$13,MATCH(F520,Products!$A$2:$A$13,0)),0)</f>
        <v>38</v>
      </c>
      <c r="L520" s="25" t="n">
        <f aca="false">H520*K520</f>
        <v>114</v>
      </c>
      <c r="M520" s="25" t="n">
        <f aca="false">J520-L520</f>
        <v>141</v>
      </c>
    </row>
    <row r="521" customFormat="false" ht="15" hidden="false" customHeight="false" outlineLevel="0" collapsed="false">
      <c r="A521" s="23" t="s">
        <v>605</v>
      </c>
      <c r="B521" s="24" t="n">
        <v>46000</v>
      </c>
      <c r="C521" s="23" t="n">
        <f aca="false">MONTH(B521)</f>
        <v>12</v>
      </c>
      <c r="D521" s="23" t="s">
        <v>21</v>
      </c>
      <c r="E521" s="23" t="s">
        <v>87</v>
      </c>
      <c r="F521" s="23" t="s">
        <v>71</v>
      </c>
      <c r="G521" s="23" t="str">
        <f aca="false">IFERROR(INDEX(Products!$B$2:$B$13,MATCH(F521,Products!$A$2:$A$13,0)),"Unknown")</f>
        <v>Accessories</v>
      </c>
      <c r="H521" s="23" t="n">
        <v>3</v>
      </c>
      <c r="I521" s="25" t="n">
        <f aca="false">IFERROR(INDEX(Products!$C$2:$C$13,MATCH(F521,Products!$A$2:$A$13,0)),0)</f>
        <v>45</v>
      </c>
      <c r="J521" s="25" t="n">
        <f aca="false">H521*I521</f>
        <v>135</v>
      </c>
      <c r="K521" s="25" t="n">
        <f aca="false">IFERROR(INDEX(Products!$D$2:$D$13,MATCH(F521,Products!$A$2:$A$13,0)),0)</f>
        <v>18</v>
      </c>
      <c r="L521" s="25" t="n">
        <f aca="false">H521*K521</f>
        <v>54</v>
      </c>
      <c r="M521" s="25" t="n">
        <f aca="false">J521-L521</f>
        <v>81</v>
      </c>
    </row>
    <row r="522" customFormat="false" ht="15" hidden="false" customHeight="false" outlineLevel="0" collapsed="false">
      <c r="A522" s="23" t="s">
        <v>606</v>
      </c>
      <c r="B522" s="24" t="n">
        <v>46002</v>
      </c>
      <c r="C522" s="23" t="n">
        <f aca="false">MONTH(B522)</f>
        <v>12</v>
      </c>
      <c r="D522" s="23" t="s">
        <v>19</v>
      </c>
      <c r="E522" s="23" t="s">
        <v>70</v>
      </c>
      <c r="F522" s="23" t="s">
        <v>91</v>
      </c>
      <c r="G522" s="23" t="str">
        <f aca="false">IFERROR(INDEX(Products!$B$2:$B$13,MATCH(F522,Products!$A$2:$A$13,0)),"Unknown")</f>
        <v>Tablets</v>
      </c>
      <c r="H522" s="23" t="n">
        <v>2</v>
      </c>
      <c r="I522" s="25" t="n">
        <f aca="false">IFERROR(INDEX(Products!$C$2:$C$13,MATCH(F522,Products!$A$2:$A$13,0)),0)</f>
        <v>420</v>
      </c>
      <c r="J522" s="25" t="n">
        <f aca="false">H522*I522</f>
        <v>840</v>
      </c>
      <c r="K522" s="25" t="n">
        <f aca="false">IFERROR(INDEX(Products!$D$2:$D$13,MATCH(F522,Products!$A$2:$A$13,0)),0)</f>
        <v>300</v>
      </c>
      <c r="L522" s="25" t="n">
        <f aca="false">H522*K522</f>
        <v>600</v>
      </c>
      <c r="M522" s="25" t="n">
        <f aca="false">J522-L522</f>
        <v>240</v>
      </c>
    </row>
    <row r="523" customFormat="false" ht="15" hidden="false" customHeight="false" outlineLevel="0" collapsed="false">
      <c r="A523" s="23" t="s">
        <v>607</v>
      </c>
      <c r="B523" s="24" t="n">
        <v>46002</v>
      </c>
      <c r="C523" s="23" t="n">
        <f aca="false">MONTH(B523)</f>
        <v>12</v>
      </c>
      <c r="D523" s="23" t="s">
        <v>19</v>
      </c>
      <c r="E523" s="23" t="s">
        <v>70</v>
      </c>
      <c r="F523" s="23" t="s">
        <v>88</v>
      </c>
      <c r="G523" s="23" t="str">
        <f aca="false">IFERROR(INDEX(Products!$B$2:$B$13,MATCH(F523,Products!$A$2:$A$13,0)),"Unknown")</f>
        <v>Accessories</v>
      </c>
      <c r="H523" s="23" t="n">
        <v>15</v>
      </c>
      <c r="I523" s="25" t="n">
        <f aca="false">IFERROR(INDEX(Products!$C$2:$C$13,MATCH(F523,Products!$A$2:$A$13,0)),0)</f>
        <v>85</v>
      </c>
      <c r="J523" s="25" t="n">
        <f aca="false">H523*I523</f>
        <v>1275</v>
      </c>
      <c r="K523" s="25" t="n">
        <f aca="false">IFERROR(INDEX(Products!$D$2:$D$13,MATCH(F523,Products!$A$2:$A$13,0)),0)</f>
        <v>38</v>
      </c>
      <c r="L523" s="25" t="n">
        <f aca="false">H523*K523</f>
        <v>570</v>
      </c>
      <c r="M523" s="25" t="n">
        <f aca="false">J523-L523</f>
        <v>705</v>
      </c>
    </row>
    <row r="524" customFormat="false" ht="15" hidden="false" customHeight="false" outlineLevel="0" collapsed="false">
      <c r="A524" s="23" t="s">
        <v>608</v>
      </c>
      <c r="B524" s="24" t="n">
        <v>46003</v>
      </c>
      <c r="C524" s="23" t="n">
        <f aca="false">MONTH(B524)</f>
        <v>12</v>
      </c>
      <c r="D524" s="23" t="s">
        <v>21</v>
      </c>
      <c r="E524" s="23" t="s">
        <v>87</v>
      </c>
      <c r="F524" s="23" t="s">
        <v>71</v>
      </c>
      <c r="G524" s="23" t="str">
        <f aca="false">IFERROR(INDEX(Products!$B$2:$B$13,MATCH(F524,Products!$A$2:$A$13,0)),"Unknown")</f>
        <v>Accessories</v>
      </c>
      <c r="H524" s="23" t="n">
        <v>3</v>
      </c>
      <c r="I524" s="25" t="n">
        <f aca="false">IFERROR(INDEX(Products!$C$2:$C$13,MATCH(F524,Products!$A$2:$A$13,0)),0)</f>
        <v>45</v>
      </c>
      <c r="J524" s="25" t="n">
        <f aca="false">H524*I524</f>
        <v>135</v>
      </c>
      <c r="K524" s="25" t="n">
        <f aca="false">IFERROR(INDEX(Products!$D$2:$D$13,MATCH(F524,Products!$A$2:$A$13,0)),0)</f>
        <v>18</v>
      </c>
      <c r="L524" s="25" t="n">
        <f aca="false">H524*K524</f>
        <v>54</v>
      </c>
      <c r="M524" s="25" t="n">
        <f aca="false">J524-L524</f>
        <v>81</v>
      </c>
    </row>
    <row r="525" customFormat="false" ht="15" hidden="false" customHeight="false" outlineLevel="0" collapsed="false">
      <c r="A525" s="23" t="s">
        <v>609</v>
      </c>
      <c r="B525" s="24" t="n">
        <v>46003</v>
      </c>
      <c r="C525" s="23" t="n">
        <f aca="false">MONTH(B525)</f>
        <v>12</v>
      </c>
      <c r="D525" s="23" t="s">
        <v>19</v>
      </c>
      <c r="E525" s="23" t="s">
        <v>70</v>
      </c>
      <c r="F525" s="23" t="s">
        <v>88</v>
      </c>
      <c r="G525" s="23" t="str">
        <f aca="false">IFERROR(INDEX(Products!$B$2:$B$13,MATCH(F525,Products!$A$2:$A$13,0)),"Unknown")</f>
        <v>Accessories</v>
      </c>
      <c r="H525" s="23" t="n">
        <v>3</v>
      </c>
      <c r="I525" s="25" t="n">
        <f aca="false">IFERROR(INDEX(Products!$C$2:$C$13,MATCH(F525,Products!$A$2:$A$13,0)),0)</f>
        <v>85</v>
      </c>
      <c r="J525" s="25" t="n">
        <f aca="false">H525*I525</f>
        <v>255</v>
      </c>
      <c r="K525" s="25" t="n">
        <f aca="false">IFERROR(INDEX(Products!$D$2:$D$13,MATCH(F525,Products!$A$2:$A$13,0)),0)</f>
        <v>38</v>
      </c>
      <c r="L525" s="25" t="n">
        <f aca="false">H525*K525</f>
        <v>114</v>
      </c>
      <c r="M525" s="25" t="n">
        <f aca="false">J525-L525</f>
        <v>141</v>
      </c>
    </row>
    <row r="526" customFormat="false" ht="15" hidden="false" customHeight="false" outlineLevel="0" collapsed="false">
      <c r="A526" s="23" t="s">
        <v>610</v>
      </c>
      <c r="B526" s="24" t="n">
        <v>46004</v>
      </c>
      <c r="C526" s="23" t="n">
        <f aca="false">MONTH(B526)</f>
        <v>12</v>
      </c>
      <c r="D526" s="23" t="s">
        <v>23</v>
      </c>
      <c r="E526" s="23" t="s">
        <v>85</v>
      </c>
      <c r="F526" s="23" t="s">
        <v>68</v>
      </c>
      <c r="G526" s="23" t="str">
        <f aca="false">IFERROR(INDEX(Products!$B$2:$B$13,MATCH(F526,Products!$A$2:$A$13,0)),"Unknown")</f>
        <v>Laptops</v>
      </c>
      <c r="H526" s="23" t="n">
        <v>1</v>
      </c>
      <c r="I526" s="25" t="n">
        <f aca="false">IFERROR(INDEX(Products!$C$2:$C$13,MATCH(F526,Products!$A$2:$A$13,0)),0)</f>
        <v>780</v>
      </c>
      <c r="J526" s="25" t="n">
        <f aca="false">H526*I526</f>
        <v>780</v>
      </c>
      <c r="K526" s="25" t="n">
        <f aca="false">IFERROR(INDEX(Products!$D$2:$D$13,MATCH(F526,Products!$A$2:$A$13,0)),0)</f>
        <v>590</v>
      </c>
      <c r="L526" s="25" t="n">
        <f aca="false">H526*K526</f>
        <v>590</v>
      </c>
      <c r="M526" s="25" t="n">
        <f aca="false">J526-L526</f>
        <v>190</v>
      </c>
    </row>
    <row r="527" customFormat="false" ht="15" hidden="false" customHeight="false" outlineLevel="0" collapsed="false">
      <c r="A527" s="23" t="s">
        <v>611</v>
      </c>
      <c r="B527" s="24" t="n">
        <v>46004</v>
      </c>
      <c r="C527" s="23" t="n">
        <f aca="false">MONTH(B527)</f>
        <v>12</v>
      </c>
      <c r="D527" s="23" t="s">
        <v>21</v>
      </c>
      <c r="E527" s="23" t="s">
        <v>87</v>
      </c>
      <c r="F527" s="23" t="s">
        <v>79</v>
      </c>
      <c r="G527" s="23" t="str">
        <f aca="false">IFERROR(INDEX(Products!$B$2:$B$13,MATCH(F527,Products!$A$2:$A$13,0)),"Unknown")</f>
        <v>Accessories</v>
      </c>
      <c r="H527" s="23" t="n">
        <v>6</v>
      </c>
      <c r="I527" s="25" t="n">
        <f aca="false">IFERROR(INDEX(Products!$C$2:$C$13,MATCH(F527,Products!$A$2:$A$13,0)),0)</f>
        <v>190</v>
      </c>
      <c r="J527" s="25" t="n">
        <f aca="false">H527*I527</f>
        <v>1140</v>
      </c>
      <c r="K527" s="25" t="n">
        <f aca="false">IFERROR(INDEX(Products!$D$2:$D$13,MATCH(F527,Products!$A$2:$A$13,0)),0)</f>
        <v>115</v>
      </c>
      <c r="L527" s="25" t="n">
        <f aca="false">H527*K527</f>
        <v>690</v>
      </c>
      <c r="M527" s="25" t="n">
        <f aca="false">J527-L527</f>
        <v>450</v>
      </c>
    </row>
    <row r="528" customFormat="false" ht="15" hidden="false" customHeight="false" outlineLevel="0" collapsed="false">
      <c r="A528" s="23" t="s">
        <v>612</v>
      </c>
      <c r="B528" s="24" t="n">
        <v>46005</v>
      </c>
      <c r="C528" s="23" t="n">
        <f aca="false">MONTH(B528)</f>
        <v>12</v>
      </c>
      <c r="D528" s="23" t="s">
        <v>19</v>
      </c>
      <c r="E528" s="23" t="s">
        <v>73</v>
      </c>
      <c r="F528" s="23" t="s">
        <v>96</v>
      </c>
      <c r="G528" s="23" t="str">
        <f aca="false">IFERROR(INDEX(Products!$B$2:$B$13,MATCH(F528,Products!$A$2:$A$13,0)),"Unknown")</f>
        <v>Tablets</v>
      </c>
      <c r="H528" s="23" t="n">
        <v>1</v>
      </c>
      <c r="I528" s="25" t="n">
        <f aca="false">IFERROR(INDEX(Products!$C$2:$C$13,MATCH(F528,Products!$A$2:$A$13,0)),0)</f>
        <v>260</v>
      </c>
      <c r="J528" s="25" t="n">
        <f aca="false">H528*I528</f>
        <v>260</v>
      </c>
      <c r="K528" s="25" t="n">
        <f aca="false">IFERROR(INDEX(Products!$D$2:$D$13,MATCH(F528,Products!$A$2:$A$13,0)),0)</f>
        <v>180</v>
      </c>
      <c r="L528" s="25" t="n">
        <f aca="false">H528*K528</f>
        <v>180</v>
      </c>
      <c r="M528" s="25" t="n">
        <f aca="false">J528-L528</f>
        <v>80</v>
      </c>
    </row>
    <row r="529" customFormat="false" ht="15" hidden="false" customHeight="false" outlineLevel="0" collapsed="false">
      <c r="A529" s="23" t="s">
        <v>613</v>
      </c>
      <c r="B529" s="24" t="n">
        <v>46005</v>
      </c>
      <c r="C529" s="23" t="n">
        <f aca="false">MONTH(B529)</f>
        <v>12</v>
      </c>
      <c r="D529" s="23" t="s">
        <v>19</v>
      </c>
      <c r="E529" s="23" t="s">
        <v>70</v>
      </c>
      <c r="F529" s="23" t="s">
        <v>96</v>
      </c>
      <c r="G529" s="23" t="str">
        <f aca="false">IFERROR(INDEX(Products!$B$2:$B$13,MATCH(F529,Products!$A$2:$A$13,0)),"Unknown")</f>
        <v>Tablets</v>
      </c>
      <c r="H529" s="23" t="n">
        <v>3</v>
      </c>
      <c r="I529" s="25" t="n">
        <f aca="false">IFERROR(INDEX(Products!$C$2:$C$13,MATCH(F529,Products!$A$2:$A$13,0)),0)</f>
        <v>260</v>
      </c>
      <c r="J529" s="25" t="n">
        <f aca="false">H529*I529</f>
        <v>780</v>
      </c>
      <c r="K529" s="25" t="n">
        <f aca="false">IFERROR(INDEX(Products!$D$2:$D$13,MATCH(F529,Products!$A$2:$A$13,0)),0)</f>
        <v>180</v>
      </c>
      <c r="L529" s="25" t="n">
        <f aca="false">H529*K529</f>
        <v>540</v>
      </c>
      <c r="M529" s="25" t="n">
        <f aca="false">J529-L529</f>
        <v>240</v>
      </c>
    </row>
    <row r="530" customFormat="false" ht="15" hidden="false" customHeight="false" outlineLevel="0" collapsed="false">
      <c r="A530" s="23" t="s">
        <v>614</v>
      </c>
      <c r="B530" s="24" t="n">
        <v>46006</v>
      </c>
      <c r="C530" s="23" t="n">
        <f aca="false">MONTH(B530)</f>
        <v>12</v>
      </c>
      <c r="D530" s="23" t="s">
        <v>23</v>
      </c>
      <c r="E530" s="23" t="s">
        <v>77</v>
      </c>
      <c r="F530" s="23" t="s">
        <v>88</v>
      </c>
      <c r="G530" s="23" t="str">
        <f aca="false">IFERROR(INDEX(Products!$B$2:$B$13,MATCH(F530,Products!$A$2:$A$13,0)),"Unknown")</f>
        <v>Accessories</v>
      </c>
      <c r="H530" s="23" t="n">
        <v>12</v>
      </c>
      <c r="I530" s="25" t="n">
        <f aca="false">IFERROR(INDEX(Products!$C$2:$C$13,MATCH(F530,Products!$A$2:$A$13,0)),0)</f>
        <v>85</v>
      </c>
      <c r="J530" s="25" t="n">
        <f aca="false">H530*I530</f>
        <v>1020</v>
      </c>
      <c r="K530" s="25" t="n">
        <f aca="false">IFERROR(INDEX(Products!$D$2:$D$13,MATCH(F530,Products!$A$2:$A$13,0)),0)</f>
        <v>38</v>
      </c>
      <c r="L530" s="25" t="n">
        <f aca="false">H530*K530</f>
        <v>456</v>
      </c>
      <c r="M530" s="25" t="n">
        <f aca="false">J530-L530</f>
        <v>564</v>
      </c>
    </row>
    <row r="531" customFormat="false" ht="15" hidden="false" customHeight="false" outlineLevel="0" collapsed="false">
      <c r="A531" s="23" t="s">
        <v>615</v>
      </c>
      <c r="B531" s="24" t="n">
        <v>46006</v>
      </c>
      <c r="C531" s="23" t="n">
        <f aca="false">MONTH(B531)</f>
        <v>12</v>
      </c>
      <c r="D531" s="23" t="s">
        <v>19</v>
      </c>
      <c r="E531" s="23" t="s">
        <v>73</v>
      </c>
      <c r="F531" s="23" t="s">
        <v>71</v>
      </c>
      <c r="G531" s="23" t="str">
        <f aca="false">IFERROR(INDEX(Products!$B$2:$B$13,MATCH(F531,Products!$A$2:$A$13,0)),"Unknown")</f>
        <v>Accessories</v>
      </c>
      <c r="H531" s="23" t="n">
        <v>3</v>
      </c>
      <c r="I531" s="25" t="n">
        <f aca="false">IFERROR(INDEX(Products!$C$2:$C$13,MATCH(F531,Products!$A$2:$A$13,0)),0)</f>
        <v>45</v>
      </c>
      <c r="J531" s="25" t="n">
        <f aca="false">H531*I531</f>
        <v>135</v>
      </c>
      <c r="K531" s="25" t="n">
        <f aca="false">IFERROR(INDEX(Products!$D$2:$D$13,MATCH(F531,Products!$A$2:$A$13,0)),0)</f>
        <v>18</v>
      </c>
      <c r="L531" s="25" t="n">
        <f aca="false">H531*K531</f>
        <v>54</v>
      </c>
      <c r="M531" s="25" t="n">
        <f aca="false">J531-L531</f>
        <v>81</v>
      </c>
    </row>
    <row r="532" customFormat="false" ht="15" hidden="false" customHeight="false" outlineLevel="0" collapsed="false">
      <c r="A532" s="23" t="s">
        <v>616</v>
      </c>
      <c r="B532" s="24" t="n">
        <v>46007</v>
      </c>
      <c r="C532" s="23" t="n">
        <f aca="false">MONTH(B532)</f>
        <v>12</v>
      </c>
      <c r="D532" s="23" t="s">
        <v>21</v>
      </c>
      <c r="E532" s="23" t="s">
        <v>87</v>
      </c>
      <c r="F532" s="23" t="s">
        <v>68</v>
      </c>
      <c r="G532" s="23" t="str">
        <f aca="false">IFERROR(INDEX(Products!$B$2:$B$13,MATCH(F532,Products!$A$2:$A$13,0)),"Unknown")</f>
        <v>Laptops</v>
      </c>
      <c r="H532" s="23" t="n">
        <v>3</v>
      </c>
      <c r="I532" s="25" t="n">
        <f aca="false">IFERROR(INDEX(Products!$C$2:$C$13,MATCH(F532,Products!$A$2:$A$13,0)),0)</f>
        <v>780</v>
      </c>
      <c r="J532" s="25" t="n">
        <f aca="false">H532*I532</f>
        <v>2340</v>
      </c>
      <c r="K532" s="25" t="n">
        <f aca="false">IFERROR(INDEX(Products!$D$2:$D$13,MATCH(F532,Products!$A$2:$A$13,0)),0)</f>
        <v>590</v>
      </c>
      <c r="L532" s="25" t="n">
        <f aca="false">H532*K532</f>
        <v>1770</v>
      </c>
      <c r="M532" s="25" t="n">
        <f aca="false">J532-L532</f>
        <v>570</v>
      </c>
    </row>
    <row r="533" customFormat="false" ht="15" hidden="false" customHeight="false" outlineLevel="0" collapsed="false">
      <c r="A533" s="23" t="s">
        <v>617</v>
      </c>
      <c r="B533" s="24" t="n">
        <v>46007</v>
      </c>
      <c r="C533" s="23" t="n">
        <f aca="false">MONTH(B533)</f>
        <v>12</v>
      </c>
      <c r="D533" s="23" t="s">
        <v>21</v>
      </c>
      <c r="E533" s="23" t="s">
        <v>87</v>
      </c>
      <c r="F533" s="23" t="s">
        <v>88</v>
      </c>
      <c r="G533" s="23" t="str">
        <f aca="false">IFERROR(INDEX(Products!$B$2:$B$13,MATCH(F533,Products!$A$2:$A$13,0)),"Unknown")</f>
        <v>Accessories</v>
      </c>
      <c r="H533" s="23" t="n">
        <v>3</v>
      </c>
      <c r="I533" s="25" t="n">
        <f aca="false">IFERROR(INDEX(Products!$C$2:$C$13,MATCH(F533,Products!$A$2:$A$13,0)),0)</f>
        <v>85</v>
      </c>
      <c r="J533" s="25" t="n">
        <f aca="false">H533*I533</f>
        <v>255</v>
      </c>
      <c r="K533" s="25" t="n">
        <f aca="false">IFERROR(INDEX(Products!$D$2:$D$13,MATCH(F533,Products!$A$2:$A$13,0)),0)</f>
        <v>38</v>
      </c>
      <c r="L533" s="25" t="n">
        <f aca="false">H533*K533</f>
        <v>114</v>
      </c>
      <c r="M533" s="25" t="n">
        <f aca="false">J533-L533</f>
        <v>141</v>
      </c>
    </row>
    <row r="534" customFormat="false" ht="15" hidden="false" customHeight="false" outlineLevel="0" collapsed="false">
      <c r="A534" s="23" t="s">
        <v>618</v>
      </c>
      <c r="B534" s="24" t="n">
        <v>46007</v>
      </c>
      <c r="C534" s="23" t="n">
        <f aca="false">MONTH(B534)</f>
        <v>12</v>
      </c>
      <c r="D534" s="23" t="s">
        <v>17</v>
      </c>
      <c r="E534" s="23" t="s">
        <v>116</v>
      </c>
      <c r="F534" s="23" t="s">
        <v>68</v>
      </c>
      <c r="G534" s="23" t="str">
        <f aca="false">IFERROR(INDEX(Products!$B$2:$B$13,MATCH(F534,Products!$A$2:$A$13,0)),"Unknown")</f>
        <v>Laptops</v>
      </c>
      <c r="H534" s="23" t="n">
        <v>2</v>
      </c>
      <c r="I534" s="25" t="n">
        <f aca="false">IFERROR(INDEX(Products!$C$2:$C$13,MATCH(F534,Products!$A$2:$A$13,0)),0)</f>
        <v>780</v>
      </c>
      <c r="J534" s="25" t="n">
        <f aca="false">H534*I534</f>
        <v>1560</v>
      </c>
      <c r="K534" s="25" t="n">
        <f aca="false">IFERROR(INDEX(Products!$D$2:$D$13,MATCH(F534,Products!$A$2:$A$13,0)),0)</f>
        <v>590</v>
      </c>
      <c r="L534" s="25" t="n">
        <f aca="false">H534*K534</f>
        <v>1180</v>
      </c>
      <c r="M534" s="25" t="n">
        <f aca="false">J534-L534</f>
        <v>380</v>
      </c>
    </row>
    <row r="535" customFormat="false" ht="15" hidden="false" customHeight="false" outlineLevel="0" collapsed="false">
      <c r="A535" s="23" t="s">
        <v>619</v>
      </c>
      <c r="B535" s="24" t="n">
        <v>46008</v>
      </c>
      <c r="C535" s="23" t="n">
        <f aca="false">MONTH(B535)</f>
        <v>12</v>
      </c>
      <c r="D535" s="23" t="s">
        <v>19</v>
      </c>
      <c r="E535" s="23" t="s">
        <v>70</v>
      </c>
      <c r="F535" s="23" t="s">
        <v>88</v>
      </c>
      <c r="G535" s="23" t="str">
        <f aca="false">IFERROR(INDEX(Products!$B$2:$B$13,MATCH(F535,Products!$A$2:$A$13,0)),"Unknown")</f>
        <v>Accessories</v>
      </c>
      <c r="H535" s="23" t="n">
        <v>9</v>
      </c>
      <c r="I535" s="25" t="n">
        <f aca="false">IFERROR(INDEX(Products!$C$2:$C$13,MATCH(F535,Products!$A$2:$A$13,0)),0)</f>
        <v>85</v>
      </c>
      <c r="J535" s="25" t="n">
        <f aca="false">H535*I535</f>
        <v>765</v>
      </c>
      <c r="K535" s="25" t="n">
        <f aca="false">IFERROR(INDEX(Products!$D$2:$D$13,MATCH(F535,Products!$A$2:$A$13,0)),0)</f>
        <v>38</v>
      </c>
      <c r="L535" s="25" t="n">
        <f aca="false">H535*K535</f>
        <v>342</v>
      </c>
      <c r="M535" s="25" t="n">
        <f aca="false">J535-L535</f>
        <v>423</v>
      </c>
    </row>
    <row r="536" customFormat="false" ht="15" hidden="false" customHeight="false" outlineLevel="0" collapsed="false">
      <c r="A536" s="23" t="s">
        <v>620</v>
      </c>
      <c r="B536" s="24" t="n">
        <v>46008</v>
      </c>
      <c r="C536" s="23" t="n">
        <f aca="false">MONTH(B536)</f>
        <v>12</v>
      </c>
      <c r="D536" s="23" t="s">
        <v>21</v>
      </c>
      <c r="E536" s="23" t="s">
        <v>90</v>
      </c>
      <c r="F536" s="23" t="s">
        <v>88</v>
      </c>
      <c r="G536" s="23" t="str">
        <f aca="false">IFERROR(INDEX(Products!$B$2:$B$13,MATCH(F536,Products!$A$2:$A$13,0)),"Unknown")</f>
        <v>Accessories</v>
      </c>
      <c r="H536" s="23" t="n">
        <v>12</v>
      </c>
      <c r="I536" s="25" t="n">
        <f aca="false">IFERROR(INDEX(Products!$C$2:$C$13,MATCH(F536,Products!$A$2:$A$13,0)),0)</f>
        <v>85</v>
      </c>
      <c r="J536" s="25" t="n">
        <f aca="false">H536*I536</f>
        <v>1020</v>
      </c>
      <c r="K536" s="25" t="n">
        <f aca="false">IFERROR(INDEX(Products!$D$2:$D$13,MATCH(F536,Products!$A$2:$A$13,0)),0)</f>
        <v>38</v>
      </c>
      <c r="L536" s="25" t="n">
        <f aca="false">H536*K536</f>
        <v>456</v>
      </c>
      <c r="M536" s="25" t="n">
        <f aca="false">J536-L536</f>
        <v>564</v>
      </c>
    </row>
    <row r="537" customFormat="false" ht="15" hidden="false" customHeight="false" outlineLevel="0" collapsed="false">
      <c r="A537" s="23" t="s">
        <v>621</v>
      </c>
      <c r="B537" s="24" t="n">
        <v>46008</v>
      </c>
      <c r="C537" s="23" t="n">
        <f aca="false">MONTH(B537)</f>
        <v>12</v>
      </c>
      <c r="D537" s="23" t="s">
        <v>23</v>
      </c>
      <c r="E537" s="23" t="s">
        <v>85</v>
      </c>
      <c r="F537" s="23" t="s">
        <v>91</v>
      </c>
      <c r="G537" s="23" t="str">
        <f aca="false">IFERROR(INDEX(Products!$B$2:$B$13,MATCH(F537,Products!$A$2:$A$13,0)),"Unknown")</f>
        <v>Tablets</v>
      </c>
      <c r="H537" s="23" t="n">
        <v>1</v>
      </c>
      <c r="I537" s="25" t="n">
        <f aca="false">IFERROR(INDEX(Products!$C$2:$C$13,MATCH(F537,Products!$A$2:$A$13,0)),0)</f>
        <v>420</v>
      </c>
      <c r="J537" s="25" t="n">
        <f aca="false">H537*I537</f>
        <v>420</v>
      </c>
      <c r="K537" s="25" t="n">
        <f aca="false">IFERROR(INDEX(Products!$D$2:$D$13,MATCH(F537,Products!$A$2:$A$13,0)),0)</f>
        <v>300</v>
      </c>
      <c r="L537" s="25" t="n">
        <f aca="false">H537*K537</f>
        <v>300</v>
      </c>
      <c r="M537" s="25" t="n">
        <f aca="false">J537-L537</f>
        <v>120</v>
      </c>
    </row>
    <row r="538" customFormat="false" ht="15" hidden="false" customHeight="false" outlineLevel="0" collapsed="false">
      <c r="A538" s="23" t="s">
        <v>622</v>
      </c>
      <c r="B538" s="24" t="n">
        <v>46008</v>
      </c>
      <c r="C538" s="23" t="n">
        <f aca="false">MONTH(B538)</f>
        <v>12</v>
      </c>
      <c r="D538" s="23" t="s">
        <v>21</v>
      </c>
      <c r="E538" s="23" t="s">
        <v>87</v>
      </c>
      <c r="F538" s="23" t="s">
        <v>79</v>
      </c>
      <c r="G538" s="23" t="str">
        <f aca="false">IFERROR(INDEX(Products!$B$2:$B$13,MATCH(F538,Products!$A$2:$A$13,0)),"Unknown")</f>
        <v>Accessories</v>
      </c>
      <c r="H538" s="23" t="n">
        <v>9</v>
      </c>
      <c r="I538" s="25" t="n">
        <f aca="false">IFERROR(INDEX(Products!$C$2:$C$13,MATCH(F538,Products!$A$2:$A$13,0)),0)</f>
        <v>190</v>
      </c>
      <c r="J538" s="25" t="n">
        <f aca="false">H538*I538</f>
        <v>1710</v>
      </c>
      <c r="K538" s="25" t="n">
        <f aca="false">IFERROR(INDEX(Products!$D$2:$D$13,MATCH(F538,Products!$A$2:$A$13,0)),0)</f>
        <v>115</v>
      </c>
      <c r="L538" s="25" t="n">
        <f aca="false">H538*K538</f>
        <v>1035</v>
      </c>
      <c r="M538" s="25" t="n">
        <f aca="false">J538-L538</f>
        <v>675</v>
      </c>
    </row>
    <row r="539" customFormat="false" ht="15" hidden="false" customHeight="false" outlineLevel="0" collapsed="false">
      <c r="A539" s="23" t="s">
        <v>623</v>
      </c>
      <c r="B539" s="24" t="n">
        <v>46010</v>
      </c>
      <c r="C539" s="23" t="n">
        <f aca="false">MONTH(B539)</f>
        <v>12</v>
      </c>
      <c r="D539" s="23" t="s">
        <v>23</v>
      </c>
      <c r="E539" s="23" t="s">
        <v>77</v>
      </c>
      <c r="F539" s="23" t="s">
        <v>104</v>
      </c>
      <c r="G539" s="23" t="str">
        <f aca="false">IFERROR(INDEX(Products!$B$2:$B$13,MATCH(F539,Products!$A$2:$A$13,0)),"Unknown")</f>
        <v>Phones</v>
      </c>
      <c r="H539" s="23" t="n">
        <v>2</v>
      </c>
      <c r="I539" s="25" t="n">
        <f aca="false">IFERROR(INDEX(Products!$C$2:$C$13,MATCH(F539,Products!$A$2:$A$13,0)),0)</f>
        <v>290</v>
      </c>
      <c r="J539" s="25" t="n">
        <f aca="false">H539*I539</f>
        <v>580</v>
      </c>
      <c r="K539" s="25" t="n">
        <f aca="false">IFERROR(INDEX(Products!$D$2:$D$13,MATCH(F539,Products!$A$2:$A$13,0)),0)</f>
        <v>205</v>
      </c>
      <c r="L539" s="25" t="n">
        <f aca="false">H539*K539</f>
        <v>410</v>
      </c>
      <c r="M539" s="25" t="n">
        <f aca="false">J539-L539</f>
        <v>170</v>
      </c>
    </row>
    <row r="540" customFormat="false" ht="15" hidden="false" customHeight="false" outlineLevel="0" collapsed="false">
      <c r="A540" s="23" t="s">
        <v>624</v>
      </c>
      <c r="B540" s="24" t="n">
        <v>46010</v>
      </c>
      <c r="C540" s="23" t="n">
        <f aca="false">MONTH(B540)</f>
        <v>12</v>
      </c>
      <c r="D540" s="23" t="s">
        <v>17</v>
      </c>
      <c r="E540" s="23" t="s">
        <v>67</v>
      </c>
      <c r="F540" s="23" t="s">
        <v>83</v>
      </c>
      <c r="G540" s="23" t="str">
        <f aca="false">IFERROR(INDEX(Products!$B$2:$B$13,MATCH(F540,Products!$A$2:$A$13,0)),"Unknown")</f>
        <v>Phones</v>
      </c>
      <c r="H540" s="23" t="n">
        <v>3</v>
      </c>
      <c r="I540" s="25" t="n">
        <f aca="false">IFERROR(INDEX(Products!$C$2:$C$13,MATCH(F540,Products!$A$2:$A$13,0)),0)</f>
        <v>640</v>
      </c>
      <c r="J540" s="25" t="n">
        <f aca="false">H540*I540</f>
        <v>1920</v>
      </c>
      <c r="K540" s="25" t="n">
        <f aca="false">IFERROR(INDEX(Products!$D$2:$D$13,MATCH(F540,Products!$A$2:$A$13,0)),0)</f>
        <v>470</v>
      </c>
      <c r="L540" s="25" t="n">
        <f aca="false">H540*K540</f>
        <v>1410</v>
      </c>
      <c r="M540" s="25" t="n">
        <f aca="false">J540-L540</f>
        <v>510</v>
      </c>
    </row>
    <row r="541" customFormat="false" ht="15" hidden="false" customHeight="false" outlineLevel="0" collapsed="false">
      <c r="A541" s="23" t="s">
        <v>625</v>
      </c>
      <c r="B541" s="24" t="n">
        <v>46010</v>
      </c>
      <c r="C541" s="23" t="n">
        <f aca="false">MONTH(B541)</f>
        <v>12</v>
      </c>
      <c r="D541" s="23" t="s">
        <v>21</v>
      </c>
      <c r="E541" s="23" t="s">
        <v>87</v>
      </c>
      <c r="F541" s="23" t="s">
        <v>96</v>
      </c>
      <c r="G541" s="23" t="str">
        <f aca="false">IFERROR(INDEX(Products!$B$2:$B$13,MATCH(F541,Products!$A$2:$A$13,0)),"Unknown")</f>
        <v>Tablets</v>
      </c>
      <c r="H541" s="23" t="n">
        <v>1</v>
      </c>
      <c r="I541" s="25" t="n">
        <f aca="false">IFERROR(INDEX(Products!$C$2:$C$13,MATCH(F541,Products!$A$2:$A$13,0)),0)</f>
        <v>260</v>
      </c>
      <c r="J541" s="25" t="n">
        <f aca="false">H541*I541</f>
        <v>260</v>
      </c>
      <c r="K541" s="25" t="n">
        <f aca="false">IFERROR(INDEX(Products!$D$2:$D$13,MATCH(F541,Products!$A$2:$A$13,0)),0)</f>
        <v>180</v>
      </c>
      <c r="L541" s="25" t="n">
        <f aca="false">H541*K541</f>
        <v>180</v>
      </c>
      <c r="M541" s="25" t="n">
        <f aca="false">J541-L541</f>
        <v>80</v>
      </c>
    </row>
    <row r="542" customFormat="false" ht="15" hidden="false" customHeight="false" outlineLevel="0" collapsed="false">
      <c r="A542" s="23" t="s">
        <v>626</v>
      </c>
      <c r="B542" s="24" t="n">
        <v>46011</v>
      </c>
      <c r="C542" s="23" t="n">
        <f aca="false">MONTH(B542)</f>
        <v>12</v>
      </c>
      <c r="D542" s="23" t="s">
        <v>17</v>
      </c>
      <c r="E542" s="23" t="s">
        <v>67</v>
      </c>
      <c r="F542" s="23" t="s">
        <v>88</v>
      </c>
      <c r="G542" s="23" t="str">
        <f aca="false">IFERROR(INDEX(Products!$B$2:$B$13,MATCH(F542,Products!$A$2:$A$13,0)),"Unknown")</f>
        <v>Accessories</v>
      </c>
      <c r="H542" s="23" t="n">
        <v>9</v>
      </c>
      <c r="I542" s="25" t="n">
        <f aca="false">IFERROR(INDEX(Products!$C$2:$C$13,MATCH(F542,Products!$A$2:$A$13,0)),0)</f>
        <v>85</v>
      </c>
      <c r="J542" s="25" t="n">
        <f aca="false">H542*I542</f>
        <v>765</v>
      </c>
      <c r="K542" s="25" t="n">
        <f aca="false">IFERROR(INDEX(Products!$D$2:$D$13,MATCH(F542,Products!$A$2:$A$13,0)),0)</f>
        <v>38</v>
      </c>
      <c r="L542" s="25" t="n">
        <f aca="false">H542*K542</f>
        <v>342</v>
      </c>
      <c r="M542" s="25" t="n">
        <f aca="false">J542-L542</f>
        <v>423</v>
      </c>
    </row>
    <row r="543" customFormat="false" ht="15" hidden="false" customHeight="false" outlineLevel="0" collapsed="false">
      <c r="A543" s="23" t="s">
        <v>627</v>
      </c>
      <c r="B543" s="24" t="n">
        <v>46011</v>
      </c>
      <c r="C543" s="23" t="n">
        <f aca="false">MONTH(B543)</f>
        <v>12</v>
      </c>
      <c r="D543" s="23" t="s">
        <v>17</v>
      </c>
      <c r="E543" s="23" t="s">
        <v>116</v>
      </c>
      <c r="F543" s="23" t="s">
        <v>71</v>
      </c>
      <c r="G543" s="23" t="str">
        <f aca="false">IFERROR(INDEX(Products!$B$2:$B$13,MATCH(F543,Products!$A$2:$A$13,0)),"Unknown")</f>
        <v>Accessories</v>
      </c>
      <c r="H543" s="23" t="n">
        <v>3</v>
      </c>
      <c r="I543" s="25" t="n">
        <f aca="false">IFERROR(INDEX(Products!$C$2:$C$13,MATCH(F543,Products!$A$2:$A$13,0)),0)</f>
        <v>45</v>
      </c>
      <c r="J543" s="25" t="n">
        <f aca="false">H543*I543</f>
        <v>135</v>
      </c>
      <c r="K543" s="25" t="n">
        <f aca="false">IFERROR(INDEX(Products!$D$2:$D$13,MATCH(F543,Products!$A$2:$A$13,0)),0)</f>
        <v>18</v>
      </c>
      <c r="L543" s="25" t="n">
        <f aca="false">H543*K543</f>
        <v>54</v>
      </c>
      <c r="M543" s="25" t="n">
        <f aca="false">J543-L543</f>
        <v>81</v>
      </c>
    </row>
    <row r="544" customFormat="false" ht="15" hidden="false" customHeight="false" outlineLevel="0" collapsed="false">
      <c r="A544" s="23" t="s">
        <v>628</v>
      </c>
      <c r="B544" s="24" t="n">
        <v>46011</v>
      </c>
      <c r="C544" s="23" t="n">
        <f aca="false">MONTH(B544)</f>
        <v>12</v>
      </c>
      <c r="D544" s="23" t="s">
        <v>19</v>
      </c>
      <c r="E544" s="23" t="s">
        <v>73</v>
      </c>
      <c r="F544" s="23" t="s">
        <v>71</v>
      </c>
      <c r="G544" s="23" t="str">
        <f aca="false">IFERROR(INDEX(Products!$B$2:$B$13,MATCH(F544,Products!$A$2:$A$13,0)),"Unknown")</f>
        <v>Accessories</v>
      </c>
      <c r="H544" s="23" t="n">
        <v>6</v>
      </c>
      <c r="I544" s="25" t="n">
        <f aca="false">IFERROR(INDEX(Products!$C$2:$C$13,MATCH(F544,Products!$A$2:$A$13,0)),0)</f>
        <v>45</v>
      </c>
      <c r="J544" s="25" t="n">
        <f aca="false">H544*I544</f>
        <v>270</v>
      </c>
      <c r="K544" s="25" t="n">
        <f aca="false">IFERROR(INDEX(Products!$D$2:$D$13,MATCH(F544,Products!$A$2:$A$13,0)),0)</f>
        <v>18</v>
      </c>
      <c r="L544" s="25" t="n">
        <f aca="false">H544*K544</f>
        <v>108</v>
      </c>
      <c r="M544" s="25" t="n">
        <f aca="false">J544-L544</f>
        <v>162</v>
      </c>
    </row>
    <row r="545" customFormat="false" ht="15" hidden="false" customHeight="false" outlineLevel="0" collapsed="false">
      <c r="A545" s="23" t="s">
        <v>629</v>
      </c>
      <c r="B545" s="24" t="n">
        <v>46011</v>
      </c>
      <c r="C545" s="23" t="n">
        <f aca="false">MONTH(B545)</f>
        <v>12</v>
      </c>
      <c r="D545" s="23" t="s">
        <v>23</v>
      </c>
      <c r="E545" s="23" t="s">
        <v>77</v>
      </c>
      <c r="F545" s="23" t="s">
        <v>71</v>
      </c>
      <c r="G545" s="23" t="str">
        <f aca="false">IFERROR(INDEX(Products!$B$2:$B$13,MATCH(F545,Products!$A$2:$A$13,0)),"Unknown")</f>
        <v>Accessories</v>
      </c>
      <c r="H545" s="23" t="n">
        <v>3</v>
      </c>
      <c r="I545" s="25" t="n">
        <f aca="false">IFERROR(INDEX(Products!$C$2:$C$13,MATCH(F545,Products!$A$2:$A$13,0)),0)</f>
        <v>45</v>
      </c>
      <c r="J545" s="25" t="n">
        <f aca="false">H545*I545</f>
        <v>135</v>
      </c>
      <c r="K545" s="25" t="n">
        <f aca="false">IFERROR(INDEX(Products!$D$2:$D$13,MATCH(F545,Products!$A$2:$A$13,0)),0)</f>
        <v>18</v>
      </c>
      <c r="L545" s="25" t="n">
        <f aca="false">H545*K545</f>
        <v>54</v>
      </c>
      <c r="M545" s="25" t="n">
        <f aca="false">J545-L545</f>
        <v>81</v>
      </c>
    </row>
    <row r="546" customFormat="false" ht="15" hidden="false" customHeight="false" outlineLevel="0" collapsed="false">
      <c r="A546" s="23" t="s">
        <v>630</v>
      </c>
      <c r="B546" s="24" t="n">
        <v>46012</v>
      </c>
      <c r="C546" s="23" t="n">
        <f aca="false">MONTH(B546)</f>
        <v>12</v>
      </c>
      <c r="D546" s="23" t="s">
        <v>17</v>
      </c>
      <c r="E546" s="23" t="s">
        <v>116</v>
      </c>
      <c r="F546" s="23" t="s">
        <v>88</v>
      </c>
      <c r="G546" s="23" t="str">
        <f aca="false">IFERROR(INDEX(Products!$B$2:$B$13,MATCH(F546,Products!$A$2:$A$13,0)),"Unknown")</f>
        <v>Accessories</v>
      </c>
      <c r="H546" s="23" t="n">
        <v>12</v>
      </c>
      <c r="I546" s="25" t="n">
        <f aca="false">IFERROR(INDEX(Products!$C$2:$C$13,MATCH(F546,Products!$A$2:$A$13,0)),0)</f>
        <v>85</v>
      </c>
      <c r="J546" s="25" t="n">
        <f aca="false">H546*I546</f>
        <v>1020</v>
      </c>
      <c r="K546" s="25" t="n">
        <f aca="false">IFERROR(INDEX(Products!$D$2:$D$13,MATCH(F546,Products!$A$2:$A$13,0)),0)</f>
        <v>38</v>
      </c>
      <c r="L546" s="25" t="n">
        <f aca="false">H546*K546</f>
        <v>456</v>
      </c>
      <c r="M546" s="25" t="n">
        <f aca="false">J546-L546</f>
        <v>564</v>
      </c>
    </row>
    <row r="547" customFormat="false" ht="15" hidden="false" customHeight="false" outlineLevel="0" collapsed="false">
      <c r="A547" s="23" t="s">
        <v>631</v>
      </c>
      <c r="B547" s="24" t="n">
        <v>46012</v>
      </c>
      <c r="C547" s="23" t="n">
        <f aca="false">MONTH(B547)</f>
        <v>12</v>
      </c>
      <c r="D547" s="23" t="s">
        <v>23</v>
      </c>
      <c r="E547" s="23" t="s">
        <v>85</v>
      </c>
      <c r="F547" s="23" t="s">
        <v>104</v>
      </c>
      <c r="G547" s="23" t="str">
        <f aca="false">IFERROR(INDEX(Products!$B$2:$B$13,MATCH(F547,Products!$A$2:$A$13,0)),"Unknown")</f>
        <v>Phones</v>
      </c>
      <c r="H547" s="23" t="n">
        <v>2</v>
      </c>
      <c r="I547" s="25" t="n">
        <f aca="false">IFERROR(INDEX(Products!$C$2:$C$13,MATCH(F547,Products!$A$2:$A$13,0)),0)</f>
        <v>290</v>
      </c>
      <c r="J547" s="25" t="n">
        <f aca="false">H547*I547</f>
        <v>580</v>
      </c>
      <c r="K547" s="25" t="n">
        <f aca="false">IFERROR(INDEX(Products!$D$2:$D$13,MATCH(F547,Products!$A$2:$A$13,0)),0)</f>
        <v>205</v>
      </c>
      <c r="L547" s="25" t="n">
        <f aca="false">H547*K547</f>
        <v>410</v>
      </c>
      <c r="M547" s="25" t="n">
        <f aca="false">J547-L547</f>
        <v>170</v>
      </c>
    </row>
    <row r="548" customFormat="false" ht="15" hidden="false" customHeight="false" outlineLevel="0" collapsed="false">
      <c r="A548" s="23" t="s">
        <v>632</v>
      </c>
      <c r="B548" s="24" t="n">
        <v>46012</v>
      </c>
      <c r="C548" s="23" t="n">
        <f aca="false">MONTH(B548)</f>
        <v>12</v>
      </c>
      <c r="D548" s="23" t="s">
        <v>21</v>
      </c>
      <c r="E548" s="23" t="s">
        <v>90</v>
      </c>
      <c r="F548" s="23" t="s">
        <v>71</v>
      </c>
      <c r="G548" s="23" t="str">
        <f aca="false">IFERROR(INDEX(Products!$B$2:$B$13,MATCH(F548,Products!$A$2:$A$13,0)),"Unknown")</f>
        <v>Accessories</v>
      </c>
      <c r="H548" s="23" t="n">
        <v>12</v>
      </c>
      <c r="I548" s="25" t="n">
        <f aca="false">IFERROR(INDEX(Products!$C$2:$C$13,MATCH(F548,Products!$A$2:$A$13,0)),0)</f>
        <v>45</v>
      </c>
      <c r="J548" s="25" t="n">
        <f aca="false">H548*I548</f>
        <v>540</v>
      </c>
      <c r="K548" s="25" t="n">
        <f aca="false">IFERROR(INDEX(Products!$D$2:$D$13,MATCH(F548,Products!$A$2:$A$13,0)),0)</f>
        <v>18</v>
      </c>
      <c r="L548" s="25" t="n">
        <f aca="false">H548*K548</f>
        <v>216</v>
      </c>
      <c r="M548" s="25" t="n">
        <f aca="false">J548-L548</f>
        <v>324</v>
      </c>
    </row>
    <row r="549" customFormat="false" ht="15" hidden="false" customHeight="false" outlineLevel="0" collapsed="false">
      <c r="A549" s="23" t="s">
        <v>633</v>
      </c>
      <c r="B549" s="24" t="n">
        <v>46012</v>
      </c>
      <c r="C549" s="23" t="n">
        <f aca="false">MONTH(B549)</f>
        <v>12</v>
      </c>
      <c r="D549" s="23" t="s">
        <v>17</v>
      </c>
      <c r="E549" s="23" t="s">
        <v>67</v>
      </c>
      <c r="F549" s="23" t="s">
        <v>79</v>
      </c>
      <c r="G549" s="23" t="str">
        <f aca="false">IFERROR(INDEX(Products!$B$2:$B$13,MATCH(F549,Products!$A$2:$A$13,0)),"Unknown")</f>
        <v>Accessories</v>
      </c>
      <c r="H549" s="23" t="n">
        <v>3</v>
      </c>
      <c r="I549" s="25" t="n">
        <f aca="false">IFERROR(INDEX(Products!$C$2:$C$13,MATCH(F549,Products!$A$2:$A$13,0)),0)</f>
        <v>190</v>
      </c>
      <c r="J549" s="25" t="n">
        <f aca="false">H549*I549</f>
        <v>570</v>
      </c>
      <c r="K549" s="25" t="n">
        <f aca="false">IFERROR(INDEX(Products!$D$2:$D$13,MATCH(F549,Products!$A$2:$A$13,0)),0)</f>
        <v>115</v>
      </c>
      <c r="L549" s="25" t="n">
        <f aca="false">H549*K549</f>
        <v>345</v>
      </c>
      <c r="M549" s="25" t="n">
        <f aca="false">J549-L549</f>
        <v>225</v>
      </c>
    </row>
    <row r="550" customFormat="false" ht="15" hidden="false" customHeight="false" outlineLevel="0" collapsed="false">
      <c r="A550" s="23" t="s">
        <v>634</v>
      </c>
      <c r="B550" s="24" t="n">
        <v>46013</v>
      </c>
      <c r="C550" s="23" t="n">
        <f aca="false">MONTH(B550)</f>
        <v>12</v>
      </c>
      <c r="D550" s="23" t="s">
        <v>23</v>
      </c>
      <c r="E550" s="23" t="s">
        <v>77</v>
      </c>
      <c r="F550" s="23" t="s">
        <v>68</v>
      </c>
      <c r="G550" s="23" t="str">
        <f aca="false">IFERROR(INDEX(Products!$B$2:$B$13,MATCH(F550,Products!$A$2:$A$13,0)),"Unknown")</f>
        <v>Laptops</v>
      </c>
      <c r="H550" s="23" t="n">
        <v>2</v>
      </c>
      <c r="I550" s="25" t="n">
        <f aca="false">IFERROR(INDEX(Products!$C$2:$C$13,MATCH(F550,Products!$A$2:$A$13,0)),0)</f>
        <v>780</v>
      </c>
      <c r="J550" s="25" t="n">
        <f aca="false">H550*I550</f>
        <v>1560</v>
      </c>
      <c r="K550" s="25" t="n">
        <f aca="false">IFERROR(INDEX(Products!$D$2:$D$13,MATCH(F550,Products!$A$2:$A$13,0)),0)</f>
        <v>590</v>
      </c>
      <c r="L550" s="25" t="n">
        <f aca="false">H550*K550</f>
        <v>1180</v>
      </c>
      <c r="M550" s="25" t="n">
        <f aca="false">J550-L550</f>
        <v>380</v>
      </c>
    </row>
    <row r="551" customFormat="false" ht="15" hidden="false" customHeight="false" outlineLevel="0" collapsed="false">
      <c r="A551" s="23" t="s">
        <v>635</v>
      </c>
      <c r="B551" s="24" t="n">
        <v>46013</v>
      </c>
      <c r="C551" s="23" t="n">
        <f aca="false">MONTH(B551)</f>
        <v>12</v>
      </c>
      <c r="D551" s="23" t="s">
        <v>23</v>
      </c>
      <c r="E551" s="23" t="s">
        <v>85</v>
      </c>
      <c r="F551" s="23" t="s">
        <v>91</v>
      </c>
      <c r="G551" s="23" t="str">
        <f aca="false">IFERROR(INDEX(Products!$B$2:$B$13,MATCH(F551,Products!$A$2:$A$13,0)),"Unknown")</f>
        <v>Tablets</v>
      </c>
      <c r="H551" s="23" t="n">
        <v>5</v>
      </c>
      <c r="I551" s="25" t="n">
        <f aca="false">IFERROR(INDEX(Products!$C$2:$C$13,MATCH(F551,Products!$A$2:$A$13,0)),0)</f>
        <v>420</v>
      </c>
      <c r="J551" s="25" t="n">
        <f aca="false">H551*I551</f>
        <v>2100</v>
      </c>
      <c r="K551" s="25" t="n">
        <f aca="false">IFERROR(INDEX(Products!$D$2:$D$13,MATCH(F551,Products!$A$2:$A$13,0)),0)</f>
        <v>300</v>
      </c>
      <c r="L551" s="25" t="n">
        <f aca="false">H551*K551</f>
        <v>1500</v>
      </c>
      <c r="M551" s="25" t="n">
        <f aca="false">J551-L551</f>
        <v>600</v>
      </c>
    </row>
    <row r="552" customFormat="false" ht="15" hidden="false" customHeight="false" outlineLevel="0" collapsed="false">
      <c r="A552" s="23" t="s">
        <v>636</v>
      </c>
      <c r="B552" s="24" t="n">
        <v>46013</v>
      </c>
      <c r="C552" s="23" t="n">
        <f aca="false">MONTH(B552)</f>
        <v>12</v>
      </c>
      <c r="D552" s="23" t="s">
        <v>17</v>
      </c>
      <c r="E552" s="23" t="s">
        <v>67</v>
      </c>
      <c r="F552" s="23" t="s">
        <v>81</v>
      </c>
      <c r="G552" s="23" t="str">
        <f aca="false">IFERROR(INDEX(Products!$B$2:$B$13,MATCH(F552,Products!$A$2:$A$13,0)),"Unknown")</f>
        <v>Laptops</v>
      </c>
      <c r="H552" s="23" t="n">
        <v>5</v>
      </c>
      <c r="I552" s="25" t="n">
        <f aca="false">IFERROR(INDEX(Products!$C$2:$C$13,MATCH(F552,Products!$A$2:$A$13,0)),0)</f>
        <v>950</v>
      </c>
      <c r="J552" s="25" t="n">
        <f aca="false">H552*I552</f>
        <v>4750</v>
      </c>
      <c r="K552" s="25" t="n">
        <f aca="false">IFERROR(INDEX(Products!$D$2:$D$13,MATCH(F552,Products!$A$2:$A$13,0)),0)</f>
        <v>720</v>
      </c>
      <c r="L552" s="25" t="n">
        <f aca="false">H552*K552</f>
        <v>3600</v>
      </c>
      <c r="M552" s="25" t="n">
        <f aca="false">J552-L552</f>
        <v>1150</v>
      </c>
    </row>
    <row r="553" customFormat="false" ht="15" hidden="false" customHeight="false" outlineLevel="0" collapsed="false">
      <c r="A553" s="23" t="s">
        <v>637</v>
      </c>
      <c r="B553" s="24" t="n">
        <v>46014</v>
      </c>
      <c r="C553" s="23" t="n">
        <f aca="false">MONTH(B553)</f>
        <v>12</v>
      </c>
      <c r="D553" s="23" t="s">
        <v>21</v>
      </c>
      <c r="E553" s="23" t="s">
        <v>90</v>
      </c>
      <c r="F553" s="23" t="s">
        <v>83</v>
      </c>
      <c r="G553" s="23" t="str">
        <f aca="false">IFERROR(INDEX(Products!$B$2:$B$13,MATCH(F553,Products!$A$2:$A$13,0)),"Unknown")</f>
        <v>Phones</v>
      </c>
      <c r="H553" s="23" t="n">
        <v>2</v>
      </c>
      <c r="I553" s="25" t="n">
        <f aca="false">IFERROR(INDEX(Products!$C$2:$C$13,MATCH(F553,Products!$A$2:$A$13,0)),0)</f>
        <v>640</v>
      </c>
      <c r="J553" s="25" t="n">
        <f aca="false">H553*I553</f>
        <v>1280</v>
      </c>
      <c r="K553" s="25" t="n">
        <f aca="false">IFERROR(INDEX(Products!$D$2:$D$13,MATCH(F553,Products!$A$2:$A$13,0)),0)</f>
        <v>470</v>
      </c>
      <c r="L553" s="25" t="n">
        <f aca="false">H553*K553</f>
        <v>940</v>
      </c>
      <c r="M553" s="25" t="n">
        <f aca="false">J553-L553</f>
        <v>340</v>
      </c>
    </row>
    <row r="554" customFormat="false" ht="15" hidden="false" customHeight="false" outlineLevel="0" collapsed="false">
      <c r="A554" s="23" t="s">
        <v>638</v>
      </c>
      <c r="B554" s="24" t="n">
        <v>46014</v>
      </c>
      <c r="C554" s="23" t="n">
        <f aca="false">MONTH(B554)</f>
        <v>12</v>
      </c>
      <c r="D554" s="23" t="s">
        <v>19</v>
      </c>
      <c r="E554" s="23" t="s">
        <v>73</v>
      </c>
      <c r="F554" s="23" t="s">
        <v>83</v>
      </c>
      <c r="G554" s="23" t="str">
        <f aca="false">IFERROR(INDEX(Products!$B$2:$B$13,MATCH(F554,Products!$A$2:$A$13,0)),"Unknown")</f>
        <v>Phones</v>
      </c>
      <c r="H554" s="23" t="n">
        <v>3</v>
      </c>
      <c r="I554" s="25" t="n">
        <f aca="false">IFERROR(INDEX(Products!$C$2:$C$13,MATCH(F554,Products!$A$2:$A$13,0)),0)</f>
        <v>640</v>
      </c>
      <c r="J554" s="25" t="n">
        <f aca="false">H554*I554</f>
        <v>1920</v>
      </c>
      <c r="K554" s="25" t="n">
        <f aca="false">IFERROR(INDEX(Products!$D$2:$D$13,MATCH(F554,Products!$A$2:$A$13,0)),0)</f>
        <v>470</v>
      </c>
      <c r="L554" s="25" t="n">
        <f aca="false">H554*K554</f>
        <v>1410</v>
      </c>
      <c r="M554" s="25" t="n">
        <f aca="false">J554-L554</f>
        <v>510</v>
      </c>
    </row>
    <row r="555" customFormat="false" ht="15" hidden="false" customHeight="false" outlineLevel="0" collapsed="false">
      <c r="A555" s="23" t="s">
        <v>639</v>
      </c>
      <c r="B555" s="24" t="n">
        <v>46014</v>
      </c>
      <c r="C555" s="23" t="n">
        <f aca="false">MONTH(B555)</f>
        <v>12</v>
      </c>
      <c r="D555" s="23" t="s">
        <v>19</v>
      </c>
      <c r="E555" s="23" t="s">
        <v>70</v>
      </c>
      <c r="F555" s="23" t="s">
        <v>96</v>
      </c>
      <c r="G555" s="23" t="str">
        <f aca="false">IFERROR(INDEX(Products!$B$2:$B$13,MATCH(F555,Products!$A$2:$A$13,0)),"Unknown")</f>
        <v>Tablets</v>
      </c>
      <c r="H555" s="23" t="n">
        <v>2</v>
      </c>
      <c r="I555" s="25" t="n">
        <f aca="false">IFERROR(INDEX(Products!$C$2:$C$13,MATCH(F555,Products!$A$2:$A$13,0)),0)</f>
        <v>260</v>
      </c>
      <c r="J555" s="25" t="n">
        <f aca="false">H555*I555</f>
        <v>520</v>
      </c>
      <c r="K555" s="25" t="n">
        <f aca="false">IFERROR(INDEX(Products!$D$2:$D$13,MATCH(F555,Products!$A$2:$A$13,0)),0)</f>
        <v>180</v>
      </c>
      <c r="L555" s="25" t="n">
        <f aca="false">H555*K555</f>
        <v>360</v>
      </c>
      <c r="M555" s="25" t="n">
        <f aca="false">J555-L555</f>
        <v>160</v>
      </c>
    </row>
    <row r="556" customFormat="false" ht="15" hidden="false" customHeight="false" outlineLevel="0" collapsed="false">
      <c r="A556" s="23" t="s">
        <v>640</v>
      </c>
      <c r="B556" s="24" t="n">
        <v>46015</v>
      </c>
      <c r="C556" s="23" t="n">
        <f aca="false">MONTH(B556)</f>
        <v>12</v>
      </c>
      <c r="D556" s="23" t="s">
        <v>23</v>
      </c>
      <c r="E556" s="23" t="s">
        <v>85</v>
      </c>
      <c r="F556" s="23" t="s">
        <v>74</v>
      </c>
      <c r="G556" s="23" t="str">
        <f aca="false">IFERROR(INDEX(Products!$B$2:$B$13,MATCH(F556,Products!$A$2:$A$13,0)),"Unknown")</f>
        <v>Monitors</v>
      </c>
      <c r="H556" s="23" t="n">
        <v>2</v>
      </c>
      <c r="I556" s="25" t="n">
        <f aca="false">IFERROR(INDEX(Products!$C$2:$C$13,MATCH(F556,Products!$A$2:$A$13,0)),0)</f>
        <v>310</v>
      </c>
      <c r="J556" s="25" t="n">
        <f aca="false">H556*I556</f>
        <v>620</v>
      </c>
      <c r="K556" s="25" t="n">
        <f aca="false">IFERROR(INDEX(Products!$D$2:$D$13,MATCH(F556,Products!$A$2:$A$13,0)),0)</f>
        <v>225</v>
      </c>
      <c r="L556" s="25" t="n">
        <f aca="false">H556*K556</f>
        <v>450</v>
      </c>
      <c r="M556" s="25" t="n">
        <f aca="false">J556-L556</f>
        <v>170</v>
      </c>
    </row>
    <row r="557" customFormat="false" ht="15" hidden="false" customHeight="false" outlineLevel="0" collapsed="false">
      <c r="A557" s="23" t="s">
        <v>641</v>
      </c>
      <c r="B557" s="24" t="n">
        <v>46015</v>
      </c>
      <c r="C557" s="23" t="n">
        <f aca="false">MONTH(B557)</f>
        <v>12</v>
      </c>
      <c r="D557" s="23" t="s">
        <v>19</v>
      </c>
      <c r="E557" s="23" t="s">
        <v>70</v>
      </c>
      <c r="F557" s="23" t="s">
        <v>104</v>
      </c>
      <c r="G557" s="23" t="str">
        <f aca="false">IFERROR(INDEX(Products!$B$2:$B$13,MATCH(F557,Products!$A$2:$A$13,0)),"Unknown")</f>
        <v>Phones</v>
      </c>
      <c r="H557" s="23" t="n">
        <v>1</v>
      </c>
      <c r="I557" s="25" t="n">
        <f aca="false">IFERROR(INDEX(Products!$C$2:$C$13,MATCH(F557,Products!$A$2:$A$13,0)),0)</f>
        <v>290</v>
      </c>
      <c r="J557" s="25" t="n">
        <f aca="false">H557*I557</f>
        <v>290</v>
      </c>
      <c r="K557" s="25" t="n">
        <f aca="false">IFERROR(INDEX(Products!$D$2:$D$13,MATCH(F557,Products!$A$2:$A$13,0)),0)</f>
        <v>205</v>
      </c>
      <c r="L557" s="25" t="n">
        <f aca="false">H557*K557</f>
        <v>205</v>
      </c>
      <c r="M557" s="25" t="n">
        <f aca="false">J557-L557</f>
        <v>85</v>
      </c>
    </row>
    <row r="558" customFormat="false" ht="15" hidden="false" customHeight="false" outlineLevel="0" collapsed="false">
      <c r="A558" s="23" t="s">
        <v>642</v>
      </c>
      <c r="B558" s="24" t="n">
        <v>46016</v>
      </c>
      <c r="C558" s="23" t="n">
        <f aca="false">MONTH(B558)</f>
        <v>12</v>
      </c>
      <c r="D558" s="23" t="s">
        <v>19</v>
      </c>
      <c r="E558" s="23" t="s">
        <v>73</v>
      </c>
      <c r="F558" s="23" t="s">
        <v>88</v>
      </c>
      <c r="G558" s="23" t="str">
        <f aca="false">IFERROR(INDEX(Products!$B$2:$B$13,MATCH(F558,Products!$A$2:$A$13,0)),"Unknown")</f>
        <v>Accessories</v>
      </c>
      <c r="H558" s="23" t="n">
        <v>9</v>
      </c>
      <c r="I558" s="25" t="n">
        <f aca="false">IFERROR(INDEX(Products!$C$2:$C$13,MATCH(F558,Products!$A$2:$A$13,0)),0)</f>
        <v>85</v>
      </c>
      <c r="J558" s="25" t="n">
        <f aca="false">H558*I558</f>
        <v>765</v>
      </c>
      <c r="K558" s="25" t="n">
        <f aca="false">IFERROR(INDEX(Products!$D$2:$D$13,MATCH(F558,Products!$A$2:$A$13,0)),0)</f>
        <v>38</v>
      </c>
      <c r="L558" s="25" t="n">
        <f aca="false">H558*K558</f>
        <v>342</v>
      </c>
      <c r="M558" s="25" t="n">
        <f aca="false">J558-L558</f>
        <v>423</v>
      </c>
    </row>
    <row r="559" customFormat="false" ht="15" hidden="false" customHeight="false" outlineLevel="0" collapsed="false">
      <c r="A559" s="23" t="s">
        <v>643</v>
      </c>
      <c r="B559" s="24" t="n">
        <v>46016</v>
      </c>
      <c r="C559" s="23" t="n">
        <f aca="false">MONTH(B559)</f>
        <v>12</v>
      </c>
      <c r="D559" s="23" t="s">
        <v>19</v>
      </c>
      <c r="E559" s="23" t="s">
        <v>70</v>
      </c>
      <c r="F559" s="23" t="s">
        <v>104</v>
      </c>
      <c r="G559" s="23" t="str">
        <f aca="false">IFERROR(INDEX(Products!$B$2:$B$13,MATCH(F559,Products!$A$2:$A$13,0)),"Unknown")</f>
        <v>Phones</v>
      </c>
      <c r="H559" s="23" t="n">
        <v>1</v>
      </c>
      <c r="I559" s="25" t="n">
        <f aca="false">IFERROR(INDEX(Products!$C$2:$C$13,MATCH(F559,Products!$A$2:$A$13,0)),0)</f>
        <v>290</v>
      </c>
      <c r="J559" s="25" t="n">
        <f aca="false">H559*I559</f>
        <v>290</v>
      </c>
      <c r="K559" s="25" t="n">
        <f aca="false">IFERROR(INDEX(Products!$D$2:$D$13,MATCH(F559,Products!$A$2:$A$13,0)),0)</f>
        <v>205</v>
      </c>
      <c r="L559" s="25" t="n">
        <f aca="false">H559*K559</f>
        <v>205</v>
      </c>
      <c r="M559" s="25" t="n">
        <f aca="false">J559-L559</f>
        <v>85</v>
      </c>
    </row>
    <row r="560" customFormat="false" ht="15" hidden="false" customHeight="false" outlineLevel="0" collapsed="false">
      <c r="A560" s="23" t="s">
        <v>644</v>
      </c>
      <c r="B560" s="24" t="n">
        <v>46016</v>
      </c>
      <c r="C560" s="23" t="n">
        <f aca="false">MONTH(B560)</f>
        <v>12</v>
      </c>
      <c r="D560" s="23" t="s">
        <v>23</v>
      </c>
      <c r="E560" s="23" t="s">
        <v>77</v>
      </c>
      <c r="F560" s="23" t="s">
        <v>88</v>
      </c>
      <c r="G560" s="23" t="str">
        <f aca="false">IFERROR(INDEX(Products!$B$2:$B$13,MATCH(F560,Products!$A$2:$A$13,0)),"Unknown")</f>
        <v>Accessories</v>
      </c>
      <c r="H560" s="23" t="n">
        <v>15</v>
      </c>
      <c r="I560" s="25" t="n">
        <f aca="false">IFERROR(INDEX(Products!$C$2:$C$13,MATCH(F560,Products!$A$2:$A$13,0)),0)</f>
        <v>85</v>
      </c>
      <c r="J560" s="25" t="n">
        <f aca="false">H560*I560</f>
        <v>1275</v>
      </c>
      <c r="K560" s="25" t="n">
        <f aca="false">IFERROR(INDEX(Products!$D$2:$D$13,MATCH(F560,Products!$A$2:$A$13,0)),0)</f>
        <v>38</v>
      </c>
      <c r="L560" s="25" t="n">
        <f aca="false">H560*K560</f>
        <v>570</v>
      </c>
      <c r="M560" s="25" t="n">
        <f aca="false">J560-L560</f>
        <v>705</v>
      </c>
    </row>
    <row r="561" customFormat="false" ht="15" hidden="false" customHeight="false" outlineLevel="0" collapsed="false">
      <c r="A561" s="23" t="s">
        <v>645</v>
      </c>
      <c r="B561" s="24" t="n">
        <v>46016</v>
      </c>
      <c r="C561" s="23" t="n">
        <f aca="false">MONTH(B561)</f>
        <v>12</v>
      </c>
      <c r="D561" s="23" t="s">
        <v>23</v>
      </c>
      <c r="E561" s="23" t="s">
        <v>77</v>
      </c>
      <c r="F561" s="23" t="s">
        <v>88</v>
      </c>
      <c r="G561" s="23" t="str">
        <f aca="false">IFERROR(INDEX(Products!$B$2:$B$13,MATCH(F561,Products!$A$2:$A$13,0)),"Unknown")</f>
        <v>Accessories</v>
      </c>
      <c r="H561" s="23" t="n">
        <v>12</v>
      </c>
      <c r="I561" s="25" t="n">
        <f aca="false">IFERROR(INDEX(Products!$C$2:$C$13,MATCH(F561,Products!$A$2:$A$13,0)),0)</f>
        <v>85</v>
      </c>
      <c r="J561" s="25" t="n">
        <f aca="false">H561*I561</f>
        <v>1020</v>
      </c>
      <c r="K561" s="25" t="n">
        <f aca="false">IFERROR(INDEX(Products!$D$2:$D$13,MATCH(F561,Products!$A$2:$A$13,0)),0)</f>
        <v>38</v>
      </c>
      <c r="L561" s="25" t="n">
        <f aca="false">H561*K561</f>
        <v>456</v>
      </c>
      <c r="M561" s="25" t="n">
        <f aca="false">J561-L561</f>
        <v>564</v>
      </c>
    </row>
    <row r="562" customFormat="false" ht="15" hidden="false" customHeight="false" outlineLevel="0" collapsed="false">
      <c r="A562" s="23" t="s">
        <v>646</v>
      </c>
      <c r="B562" s="24" t="n">
        <v>46016</v>
      </c>
      <c r="C562" s="23" t="n">
        <f aca="false">MONTH(B562)</f>
        <v>12</v>
      </c>
      <c r="D562" s="23" t="s">
        <v>23</v>
      </c>
      <c r="E562" s="23" t="s">
        <v>85</v>
      </c>
      <c r="F562" s="23" t="s">
        <v>96</v>
      </c>
      <c r="G562" s="23" t="str">
        <f aca="false">IFERROR(INDEX(Products!$B$2:$B$13,MATCH(F562,Products!$A$2:$A$13,0)),"Unknown")</f>
        <v>Tablets</v>
      </c>
      <c r="H562" s="23" t="n">
        <v>2</v>
      </c>
      <c r="I562" s="25" t="n">
        <f aca="false">IFERROR(INDEX(Products!$C$2:$C$13,MATCH(F562,Products!$A$2:$A$13,0)),0)</f>
        <v>260</v>
      </c>
      <c r="J562" s="25" t="n">
        <f aca="false">H562*I562</f>
        <v>520</v>
      </c>
      <c r="K562" s="25" t="n">
        <f aca="false">IFERROR(INDEX(Products!$D$2:$D$13,MATCH(F562,Products!$A$2:$A$13,0)),0)</f>
        <v>180</v>
      </c>
      <c r="L562" s="25" t="n">
        <f aca="false">H562*K562</f>
        <v>360</v>
      </c>
      <c r="M562" s="25" t="n">
        <f aca="false">J562-L562</f>
        <v>160</v>
      </c>
    </row>
    <row r="563" customFormat="false" ht="15" hidden="false" customHeight="false" outlineLevel="0" collapsed="false">
      <c r="A563" s="23" t="s">
        <v>647</v>
      </c>
      <c r="B563" s="24" t="n">
        <v>46017</v>
      </c>
      <c r="C563" s="23" t="n">
        <f aca="false">MONTH(B563)</f>
        <v>12</v>
      </c>
      <c r="D563" s="23" t="s">
        <v>21</v>
      </c>
      <c r="E563" s="23" t="s">
        <v>87</v>
      </c>
      <c r="F563" s="23" t="s">
        <v>71</v>
      </c>
      <c r="G563" s="23" t="str">
        <f aca="false">IFERROR(INDEX(Products!$B$2:$B$13,MATCH(F563,Products!$A$2:$A$13,0)),"Unknown")</f>
        <v>Accessories</v>
      </c>
      <c r="H563" s="23" t="n">
        <v>3</v>
      </c>
      <c r="I563" s="25" t="n">
        <f aca="false">IFERROR(INDEX(Products!$C$2:$C$13,MATCH(F563,Products!$A$2:$A$13,0)),0)</f>
        <v>45</v>
      </c>
      <c r="J563" s="25" t="n">
        <f aca="false">H563*I563</f>
        <v>135</v>
      </c>
      <c r="K563" s="25" t="n">
        <f aca="false">IFERROR(INDEX(Products!$D$2:$D$13,MATCH(F563,Products!$A$2:$A$13,0)),0)</f>
        <v>18</v>
      </c>
      <c r="L563" s="25" t="n">
        <f aca="false">H563*K563</f>
        <v>54</v>
      </c>
      <c r="M563" s="25" t="n">
        <f aca="false">J563-L563</f>
        <v>81</v>
      </c>
    </row>
    <row r="564" customFormat="false" ht="15" hidden="false" customHeight="false" outlineLevel="0" collapsed="false">
      <c r="A564" s="23" t="s">
        <v>648</v>
      </c>
      <c r="B564" s="24" t="n">
        <v>46017</v>
      </c>
      <c r="C564" s="23" t="n">
        <f aca="false">MONTH(B564)</f>
        <v>12</v>
      </c>
      <c r="D564" s="23" t="s">
        <v>21</v>
      </c>
      <c r="E564" s="23" t="s">
        <v>90</v>
      </c>
      <c r="F564" s="23" t="s">
        <v>79</v>
      </c>
      <c r="G564" s="23" t="str">
        <f aca="false">IFERROR(INDEX(Products!$B$2:$B$13,MATCH(F564,Products!$A$2:$A$13,0)),"Unknown")</f>
        <v>Accessories</v>
      </c>
      <c r="H564" s="23" t="n">
        <v>3</v>
      </c>
      <c r="I564" s="25" t="n">
        <f aca="false">IFERROR(INDEX(Products!$C$2:$C$13,MATCH(F564,Products!$A$2:$A$13,0)),0)</f>
        <v>190</v>
      </c>
      <c r="J564" s="25" t="n">
        <f aca="false">H564*I564</f>
        <v>570</v>
      </c>
      <c r="K564" s="25" t="n">
        <f aca="false">IFERROR(INDEX(Products!$D$2:$D$13,MATCH(F564,Products!$A$2:$A$13,0)),0)</f>
        <v>115</v>
      </c>
      <c r="L564" s="25" t="n">
        <f aca="false">H564*K564</f>
        <v>345</v>
      </c>
      <c r="M564" s="25" t="n">
        <f aca="false">J564-L564</f>
        <v>225</v>
      </c>
    </row>
    <row r="565" customFormat="false" ht="15" hidden="false" customHeight="false" outlineLevel="0" collapsed="false">
      <c r="A565" s="23" t="s">
        <v>649</v>
      </c>
      <c r="B565" s="24" t="n">
        <v>46017</v>
      </c>
      <c r="C565" s="23" t="n">
        <f aca="false">MONTH(B565)</f>
        <v>12</v>
      </c>
      <c r="D565" s="23" t="s">
        <v>23</v>
      </c>
      <c r="E565" s="23" t="s">
        <v>85</v>
      </c>
      <c r="F565" s="23" t="s">
        <v>68</v>
      </c>
      <c r="G565" s="23" t="str">
        <f aca="false">IFERROR(INDEX(Products!$B$2:$B$13,MATCH(F565,Products!$A$2:$A$13,0)),"Unknown")</f>
        <v>Laptops</v>
      </c>
      <c r="H565" s="23" t="n">
        <v>1</v>
      </c>
      <c r="I565" s="25" t="n">
        <f aca="false">IFERROR(INDEX(Products!$C$2:$C$13,MATCH(F565,Products!$A$2:$A$13,0)),0)</f>
        <v>780</v>
      </c>
      <c r="J565" s="25" t="n">
        <f aca="false">H565*I565</f>
        <v>780</v>
      </c>
      <c r="K565" s="25" t="n">
        <f aca="false">IFERROR(INDEX(Products!$D$2:$D$13,MATCH(F565,Products!$A$2:$A$13,0)),0)</f>
        <v>590</v>
      </c>
      <c r="L565" s="25" t="n">
        <f aca="false">H565*K565</f>
        <v>590</v>
      </c>
      <c r="M565" s="25" t="n">
        <f aca="false">J565-L565</f>
        <v>190</v>
      </c>
    </row>
    <row r="566" customFormat="false" ht="15" hidden="false" customHeight="false" outlineLevel="0" collapsed="false">
      <c r="A566" s="23" t="s">
        <v>650</v>
      </c>
      <c r="B566" s="24" t="n">
        <v>46017</v>
      </c>
      <c r="C566" s="23" t="n">
        <f aca="false">MONTH(B566)</f>
        <v>12</v>
      </c>
      <c r="D566" s="23" t="s">
        <v>19</v>
      </c>
      <c r="E566" s="23" t="s">
        <v>70</v>
      </c>
      <c r="F566" s="23" t="s">
        <v>96</v>
      </c>
      <c r="G566" s="23" t="str">
        <f aca="false">IFERROR(INDEX(Products!$B$2:$B$13,MATCH(F566,Products!$A$2:$A$13,0)),"Unknown")</f>
        <v>Tablets</v>
      </c>
      <c r="H566" s="23" t="n">
        <v>3</v>
      </c>
      <c r="I566" s="25" t="n">
        <f aca="false">IFERROR(INDEX(Products!$C$2:$C$13,MATCH(F566,Products!$A$2:$A$13,0)),0)</f>
        <v>260</v>
      </c>
      <c r="J566" s="25" t="n">
        <f aca="false">H566*I566</f>
        <v>780</v>
      </c>
      <c r="K566" s="25" t="n">
        <f aca="false">IFERROR(INDEX(Products!$D$2:$D$13,MATCH(F566,Products!$A$2:$A$13,0)),0)</f>
        <v>180</v>
      </c>
      <c r="L566" s="25" t="n">
        <f aca="false">H566*K566</f>
        <v>540</v>
      </c>
      <c r="M566" s="25" t="n">
        <f aca="false">J566-L566</f>
        <v>240</v>
      </c>
    </row>
    <row r="567" customFormat="false" ht="15" hidden="false" customHeight="false" outlineLevel="0" collapsed="false">
      <c r="A567" s="23" t="s">
        <v>651</v>
      </c>
      <c r="B567" s="24" t="n">
        <v>46017</v>
      </c>
      <c r="C567" s="23" t="n">
        <f aca="false">MONTH(B567)</f>
        <v>12</v>
      </c>
      <c r="D567" s="23" t="s">
        <v>21</v>
      </c>
      <c r="E567" s="23" t="s">
        <v>90</v>
      </c>
      <c r="F567" s="23" t="s">
        <v>71</v>
      </c>
      <c r="G567" s="23" t="str">
        <f aca="false">IFERROR(INDEX(Products!$B$2:$B$13,MATCH(F567,Products!$A$2:$A$13,0)),"Unknown")</f>
        <v>Accessories</v>
      </c>
      <c r="H567" s="23" t="n">
        <v>12</v>
      </c>
      <c r="I567" s="25" t="n">
        <f aca="false">IFERROR(INDEX(Products!$C$2:$C$13,MATCH(F567,Products!$A$2:$A$13,0)),0)</f>
        <v>45</v>
      </c>
      <c r="J567" s="25" t="n">
        <f aca="false">H567*I567</f>
        <v>540</v>
      </c>
      <c r="K567" s="25" t="n">
        <f aca="false">IFERROR(INDEX(Products!$D$2:$D$13,MATCH(F567,Products!$A$2:$A$13,0)),0)</f>
        <v>18</v>
      </c>
      <c r="L567" s="25" t="n">
        <f aca="false">H567*K567</f>
        <v>216</v>
      </c>
      <c r="M567" s="25" t="n">
        <f aca="false">J567-L567</f>
        <v>324</v>
      </c>
    </row>
    <row r="568" customFormat="false" ht="15" hidden="false" customHeight="false" outlineLevel="0" collapsed="false">
      <c r="A568" s="23" t="s">
        <v>652</v>
      </c>
      <c r="B568" s="24" t="n">
        <v>46018</v>
      </c>
      <c r="C568" s="23" t="n">
        <f aca="false">MONTH(B568)</f>
        <v>12</v>
      </c>
      <c r="D568" s="23" t="s">
        <v>19</v>
      </c>
      <c r="E568" s="23" t="s">
        <v>70</v>
      </c>
      <c r="F568" s="23" t="s">
        <v>104</v>
      </c>
      <c r="G568" s="23" t="str">
        <f aca="false">IFERROR(INDEX(Products!$B$2:$B$13,MATCH(F568,Products!$A$2:$A$13,0)),"Unknown")</f>
        <v>Phones</v>
      </c>
      <c r="H568" s="23" t="n">
        <v>3</v>
      </c>
      <c r="I568" s="25" t="n">
        <f aca="false">IFERROR(INDEX(Products!$C$2:$C$13,MATCH(F568,Products!$A$2:$A$13,0)),0)</f>
        <v>290</v>
      </c>
      <c r="J568" s="25" t="n">
        <f aca="false">H568*I568</f>
        <v>870</v>
      </c>
      <c r="K568" s="25" t="n">
        <f aca="false">IFERROR(INDEX(Products!$D$2:$D$13,MATCH(F568,Products!$A$2:$A$13,0)),0)</f>
        <v>205</v>
      </c>
      <c r="L568" s="25" t="n">
        <f aca="false">H568*K568</f>
        <v>615</v>
      </c>
      <c r="M568" s="25" t="n">
        <f aca="false">J568-L568</f>
        <v>255</v>
      </c>
    </row>
    <row r="569" customFormat="false" ht="15" hidden="false" customHeight="false" outlineLevel="0" collapsed="false">
      <c r="A569" s="23" t="s">
        <v>653</v>
      </c>
      <c r="B569" s="24" t="n">
        <v>46019</v>
      </c>
      <c r="C569" s="23" t="n">
        <f aca="false">MONTH(B569)</f>
        <v>12</v>
      </c>
      <c r="D569" s="23" t="s">
        <v>21</v>
      </c>
      <c r="E569" s="23" t="s">
        <v>90</v>
      </c>
      <c r="F569" s="23" t="s">
        <v>88</v>
      </c>
      <c r="G569" s="23" t="str">
        <f aca="false">IFERROR(INDEX(Products!$B$2:$B$13,MATCH(F569,Products!$A$2:$A$13,0)),"Unknown")</f>
        <v>Accessories</v>
      </c>
      <c r="H569" s="23" t="n">
        <v>3</v>
      </c>
      <c r="I569" s="25" t="n">
        <f aca="false">IFERROR(INDEX(Products!$C$2:$C$13,MATCH(F569,Products!$A$2:$A$13,0)),0)</f>
        <v>85</v>
      </c>
      <c r="J569" s="25" t="n">
        <f aca="false">H569*I569</f>
        <v>255</v>
      </c>
      <c r="K569" s="25" t="n">
        <f aca="false">IFERROR(INDEX(Products!$D$2:$D$13,MATCH(F569,Products!$A$2:$A$13,0)),0)</f>
        <v>38</v>
      </c>
      <c r="L569" s="25" t="n">
        <f aca="false">H569*K569</f>
        <v>114</v>
      </c>
      <c r="M569" s="25" t="n">
        <f aca="false">J569-L569</f>
        <v>141</v>
      </c>
    </row>
    <row r="570" customFormat="false" ht="15" hidden="false" customHeight="false" outlineLevel="0" collapsed="false">
      <c r="A570" s="23" t="s">
        <v>654</v>
      </c>
      <c r="B570" s="24" t="n">
        <v>46019</v>
      </c>
      <c r="C570" s="23" t="n">
        <f aca="false">MONTH(B570)</f>
        <v>12</v>
      </c>
      <c r="D570" s="23" t="s">
        <v>17</v>
      </c>
      <c r="E570" s="23" t="s">
        <v>67</v>
      </c>
      <c r="F570" s="23" t="s">
        <v>79</v>
      </c>
      <c r="G570" s="23" t="str">
        <f aca="false">IFERROR(INDEX(Products!$B$2:$B$13,MATCH(F570,Products!$A$2:$A$13,0)),"Unknown")</f>
        <v>Accessories</v>
      </c>
      <c r="H570" s="23" t="n">
        <v>6</v>
      </c>
      <c r="I570" s="25" t="n">
        <f aca="false">IFERROR(INDEX(Products!$C$2:$C$13,MATCH(F570,Products!$A$2:$A$13,0)),0)</f>
        <v>190</v>
      </c>
      <c r="J570" s="25" t="n">
        <f aca="false">H570*I570</f>
        <v>1140</v>
      </c>
      <c r="K570" s="25" t="n">
        <f aca="false">IFERROR(INDEX(Products!$D$2:$D$13,MATCH(F570,Products!$A$2:$A$13,0)),0)</f>
        <v>115</v>
      </c>
      <c r="L570" s="25" t="n">
        <f aca="false">H570*K570</f>
        <v>690</v>
      </c>
      <c r="M570" s="25" t="n">
        <f aca="false">J570-L570</f>
        <v>450</v>
      </c>
    </row>
    <row r="571" customFormat="false" ht="15" hidden="false" customHeight="false" outlineLevel="0" collapsed="false">
      <c r="A571" s="23" t="s">
        <v>655</v>
      </c>
      <c r="B571" s="24" t="n">
        <v>46019</v>
      </c>
      <c r="C571" s="23" t="n">
        <f aca="false">MONTH(B571)</f>
        <v>12</v>
      </c>
      <c r="D571" s="23" t="s">
        <v>21</v>
      </c>
      <c r="E571" s="23" t="s">
        <v>87</v>
      </c>
      <c r="F571" s="23" t="s">
        <v>68</v>
      </c>
      <c r="G571" s="23" t="str">
        <f aca="false">IFERROR(INDEX(Products!$B$2:$B$13,MATCH(F571,Products!$A$2:$A$13,0)),"Unknown")</f>
        <v>Laptops</v>
      </c>
      <c r="H571" s="23" t="n">
        <v>3</v>
      </c>
      <c r="I571" s="25" t="n">
        <f aca="false">IFERROR(INDEX(Products!$C$2:$C$13,MATCH(F571,Products!$A$2:$A$13,0)),0)</f>
        <v>780</v>
      </c>
      <c r="J571" s="25" t="n">
        <f aca="false">H571*I571</f>
        <v>2340</v>
      </c>
      <c r="K571" s="25" t="n">
        <f aca="false">IFERROR(INDEX(Products!$D$2:$D$13,MATCH(F571,Products!$A$2:$A$13,0)),0)</f>
        <v>590</v>
      </c>
      <c r="L571" s="25" t="n">
        <f aca="false">H571*K571</f>
        <v>1770</v>
      </c>
      <c r="M571" s="25" t="n">
        <f aca="false">J571-L571</f>
        <v>570</v>
      </c>
    </row>
  </sheetData>
  <autoFilter ref="A1:M5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6" t="s">
        <v>61</v>
      </c>
      <c r="B1" s="6" t="s">
        <v>26</v>
      </c>
      <c r="C1" s="6" t="s">
        <v>63</v>
      </c>
      <c r="D1" s="6" t="s">
        <v>64</v>
      </c>
      <c r="E1" s="6" t="s">
        <v>656</v>
      </c>
    </row>
    <row r="2" customFormat="false" ht="15" hidden="false" customHeight="false" outlineLevel="0" collapsed="false">
      <c r="A2" s="23" t="s">
        <v>81</v>
      </c>
      <c r="B2" s="23" t="s">
        <v>29</v>
      </c>
      <c r="C2" s="26" t="n">
        <v>950</v>
      </c>
      <c r="D2" s="26" t="n">
        <v>720</v>
      </c>
      <c r="E2" s="27" t="n">
        <f aca="false">IFERROR((C2-D2)/C2,0)</f>
        <v>0.242105263157895</v>
      </c>
    </row>
    <row r="3" customFormat="false" ht="15" hidden="false" customHeight="false" outlineLevel="0" collapsed="false">
      <c r="A3" s="23" t="s">
        <v>68</v>
      </c>
      <c r="B3" s="23" t="s">
        <v>29</v>
      </c>
      <c r="C3" s="26" t="n">
        <v>780</v>
      </c>
      <c r="D3" s="26" t="n">
        <v>590</v>
      </c>
      <c r="E3" s="27" t="n">
        <f aca="false">IFERROR((C3-D3)/C3,0)</f>
        <v>0.243589743589744</v>
      </c>
    </row>
    <row r="4" customFormat="false" ht="15" hidden="false" customHeight="false" outlineLevel="0" collapsed="false">
      <c r="A4" s="23" t="s">
        <v>94</v>
      </c>
      <c r="B4" s="23" t="s">
        <v>29</v>
      </c>
      <c r="C4" s="26" t="n">
        <v>1350</v>
      </c>
      <c r="D4" s="26" t="n">
        <v>1040</v>
      </c>
      <c r="E4" s="27" t="n">
        <f aca="false">IFERROR((C4-D4)/C4,0)</f>
        <v>0.22962962962963</v>
      </c>
    </row>
    <row r="5" customFormat="false" ht="15" hidden="false" customHeight="false" outlineLevel="0" collapsed="false">
      <c r="A5" s="23" t="s">
        <v>83</v>
      </c>
      <c r="B5" s="23" t="s">
        <v>31</v>
      </c>
      <c r="C5" s="26" t="n">
        <v>640</v>
      </c>
      <c r="D5" s="26" t="n">
        <v>470</v>
      </c>
      <c r="E5" s="27" t="n">
        <f aca="false">IFERROR((C5-D5)/C5,0)</f>
        <v>0.265625</v>
      </c>
    </row>
    <row r="6" customFormat="false" ht="15" hidden="false" customHeight="false" outlineLevel="0" collapsed="false">
      <c r="A6" s="23" t="s">
        <v>104</v>
      </c>
      <c r="B6" s="23" t="s">
        <v>31</v>
      </c>
      <c r="C6" s="26" t="n">
        <v>290</v>
      </c>
      <c r="D6" s="26" t="n">
        <v>205</v>
      </c>
      <c r="E6" s="27" t="n">
        <f aca="false">IFERROR((C6-D6)/C6,0)</f>
        <v>0.293103448275862</v>
      </c>
    </row>
    <row r="7" customFormat="false" ht="15" hidden="false" customHeight="false" outlineLevel="0" collapsed="false">
      <c r="A7" s="23" t="s">
        <v>91</v>
      </c>
      <c r="B7" s="23" t="s">
        <v>33</v>
      </c>
      <c r="C7" s="26" t="n">
        <v>420</v>
      </c>
      <c r="D7" s="26" t="n">
        <v>300</v>
      </c>
      <c r="E7" s="27" t="n">
        <f aca="false">IFERROR((C7-D7)/C7,0)</f>
        <v>0.285714285714286</v>
      </c>
    </row>
    <row r="8" customFormat="false" ht="15" hidden="false" customHeight="false" outlineLevel="0" collapsed="false">
      <c r="A8" s="23" t="s">
        <v>96</v>
      </c>
      <c r="B8" s="23" t="s">
        <v>33</v>
      </c>
      <c r="C8" s="26" t="n">
        <v>260</v>
      </c>
      <c r="D8" s="26" t="n">
        <v>180</v>
      </c>
      <c r="E8" s="27" t="n">
        <f aca="false">IFERROR((C8-D8)/C8,0)</f>
        <v>0.307692307692308</v>
      </c>
    </row>
    <row r="9" customFormat="false" ht="15" hidden="false" customHeight="false" outlineLevel="0" collapsed="false">
      <c r="A9" s="23" t="s">
        <v>88</v>
      </c>
      <c r="B9" s="23" t="s">
        <v>37</v>
      </c>
      <c r="C9" s="26" t="n">
        <v>85</v>
      </c>
      <c r="D9" s="26" t="n">
        <v>38</v>
      </c>
      <c r="E9" s="27" t="n">
        <f aca="false">IFERROR((C9-D9)/C9,0)</f>
        <v>0.552941176470588</v>
      </c>
    </row>
    <row r="10" customFormat="false" ht="15" hidden="false" customHeight="false" outlineLevel="0" collapsed="false">
      <c r="A10" s="23" t="s">
        <v>79</v>
      </c>
      <c r="B10" s="23" t="s">
        <v>37</v>
      </c>
      <c r="C10" s="26" t="n">
        <v>190</v>
      </c>
      <c r="D10" s="26" t="n">
        <v>115</v>
      </c>
      <c r="E10" s="27" t="n">
        <f aca="false">IFERROR((C10-D10)/C10,0)</f>
        <v>0.394736842105263</v>
      </c>
    </row>
    <row r="11" customFormat="false" ht="15" hidden="false" customHeight="false" outlineLevel="0" collapsed="false">
      <c r="A11" s="23" t="s">
        <v>71</v>
      </c>
      <c r="B11" s="23" t="s">
        <v>37</v>
      </c>
      <c r="C11" s="26" t="n">
        <v>45</v>
      </c>
      <c r="D11" s="26" t="n">
        <v>18</v>
      </c>
      <c r="E11" s="27" t="n">
        <f aca="false">IFERROR((C11-D11)/C11,0)</f>
        <v>0.6</v>
      </c>
    </row>
    <row r="12" customFormat="false" ht="15" hidden="false" customHeight="false" outlineLevel="0" collapsed="false">
      <c r="A12" s="23" t="s">
        <v>74</v>
      </c>
      <c r="B12" s="23" t="s">
        <v>35</v>
      </c>
      <c r="C12" s="26" t="n">
        <v>310</v>
      </c>
      <c r="D12" s="26" t="n">
        <v>225</v>
      </c>
      <c r="E12" s="27" t="n">
        <f aca="false">IFERROR((C12-D12)/C12,0)</f>
        <v>0.274193548387097</v>
      </c>
    </row>
    <row r="13" customFormat="false" ht="15" hidden="false" customHeight="false" outlineLevel="0" collapsed="false">
      <c r="A13" s="23" t="s">
        <v>98</v>
      </c>
      <c r="B13" s="23" t="s">
        <v>35</v>
      </c>
      <c r="C13" s="26" t="n">
        <v>480</v>
      </c>
      <c r="D13" s="26" t="n">
        <v>350</v>
      </c>
      <c r="E13" s="27" t="n">
        <f aca="false">IFERROR((C13-D13)/C13,0)</f>
        <v>0.270833333333333</v>
      </c>
    </row>
    <row r="15" customFormat="false" ht="15" hidden="false" customHeight="false" outlineLevel="0" collapsed="false">
      <c r="A15" s="2" t="s">
        <v>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7"/>
  </cols>
  <sheetData>
    <row r="1" customFormat="false" ht="15" hidden="false" customHeight="false" outlineLevel="0" collapsed="false">
      <c r="A1" s="6" t="s">
        <v>10</v>
      </c>
      <c r="B1" s="6" t="s">
        <v>658</v>
      </c>
      <c r="C1" s="6" t="s">
        <v>659</v>
      </c>
      <c r="D1" s="6" t="s">
        <v>660</v>
      </c>
      <c r="E1" s="6" t="s">
        <v>661</v>
      </c>
      <c r="F1" s="6" t="s">
        <v>662</v>
      </c>
    </row>
    <row r="2" customFormat="false" ht="15" hidden="false" customHeight="false" outlineLevel="0" collapsed="false">
      <c r="A2" s="23" t="s">
        <v>16</v>
      </c>
      <c r="B2" s="26" t="n">
        <v>8500</v>
      </c>
      <c r="C2" s="26" t="n">
        <v>10500</v>
      </c>
      <c r="D2" s="26" t="n">
        <v>11000</v>
      </c>
      <c r="E2" s="26" t="n">
        <v>12000</v>
      </c>
      <c r="F2" s="25" t="n">
        <f aca="false">SUM(B2:E2)</f>
        <v>42000</v>
      </c>
    </row>
    <row r="3" customFormat="false" ht="15" hidden="false" customHeight="false" outlineLevel="0" collapsed="false">
      <c r="A3" s="23" t="s">
        <v>18</v>
      </c>
      <c r="B3" s="26" t="n">
        <v>8000</v>
      </c>
      <c r="C3" s="26" t="n">
        <v>10000</v>
      </c>
      <c r="D3" s="26" t="n">
        <v>10500</v>
      </c>
      <c r="E3" s="26" t="n">
        <v>11500</v>
      </c>
      <c r="F3" s="25" t="n">
        <f aca="false">SUM(B3:E3)</f>
        <v>40000</v>
      </c>
    </row>
    <row r="4" customFormat="false" ht="15" hidden="false" customHeight="false" outlineLevel="0" collapsed="false">
      <c r="A4" s="23" t="s">
        <v>20</v>
      </c>
      <c r="B4" s="26" t="n">
        <v>9500</v>
      </c>
      <c r="C4" s="26" t="n">
        <v>12000</v>
      </c>
      <c r="D4" s="26" t="n">
        <v>12500</v>
      </c>
      <c r="E4" s="26" t="n">
        <v>13500</v>
      </c>
      <c r="F4" s="25" t="n">
        <f aca="false">SUM(B4:E4)</f>
        <v>47500</v>
      </c>
    </row>
    <row r="5" customFormat="false" ht="15" hidden="false" customHeight="false" outlineLevel="0" collapsed="false">
      <c r="A5" s="23" t="s">
        <v>22</v>
      </c>
      <c r="B5" s="26" t="n">
        <v>10000</v>
      </c>
      <c r="C5" s="26" t="n">
        <v>12500</v>
      </c>
      <c r="D5" s="26" t="n">
        <v>13000</v>
      </c>
      <c r="E5" s="26" t="n">
        <v>14500</v>
      </c>
      <c r="F5" s="25" t="n">
        <f aca="false">SUM(B5:E5)</f>
        <v>50000</v>
      </c>
    </row>
    <row r="6" customFormat="false" ht="15" hidden="false" customHeight="false" outlineLevel="0" collapsed="false">
      <c r="A6" s="23" t="s">
        <v>24</v>
      </c>
      <c r="B6" s="26" t="n">
        <v>10500</v>
      </c>
      <c r="C6" s="26" t="n">
        <v>13000</v>
      </c>
      <c r="D6" s="26" t="n">
        <v>14000</v>
      </c>
      <c r="E6" s="26" t="n">
        <v>15000</v>
      </c>
      <c r="F6" s="25" t="n">
        <f aca="false">SUM(B6:E6)</f>
        <v>52500</v>
      </c>
    </row>
    <row r="7" customFormat="false" ht="15" hidden="false" customHeight="false" outlineLevel="0" collapsed="false">
      <c r="A7" s="23" t="s">
        <v>25</v>
      </c>
      <c r="B7" s="26" t="n">
        <v>10500</v>
      </c>
      <c r="C7" s="26" t="n">
        <v>13000</v>
      </c>
      <c r="D7" s="26" t="n">
        <v>14000</v>
      </c>
      <c r="E7" s="26" t="n">
        <v>15000</v>
      </c>
      <c r="F7" s="25" t="n">
        <f aca="false">SUM(B7:E7)</f>
        <v>52500</v>
      </c>
    </row>
    <row r="8" customFormat="false" ht="15" hidden="false" customHeight="false" outlineLevel="0" collapsed="false">
      <c r="A8" s="23" t="s">
        <v>28</v>
      </c>
      <c r="B8" s="26" t="n">
        <v>10000</v>
      </c>
      <c r="C8" s="26" t="n">
        <v>12500</v>
      </c>
      <c r="D8" s="26" t="n">
        <v>13000</v>
      </c>
      <c r="E8" s="26" t="n">
        <v>14500</v>
      </c>
      <c r="F8" s="25" t="n">
        <f aca="false">SUM(B8:E8)</f>
        <v>50000</v>
      </c>
    </row>
    <row r="9" customFormat="false" ht="15" hidden="false" customHeight="false" outlineLevel="0" collapsed="false">
      <c r="A9" s="23" t="s">
        <v>30</v>
      </c>
      <c r="B9" s="26" t="n">
        <v>11000</v>
      </c>
      <c r="C9" s="26" t="n">
        <v>14000</v>
      </c>
      <c r="D9" s="26" t="n">
        <v>14500</v>
      </c>
      <c r="E9" s="26" t="n">
        <v>16000</v>
      </c>
      <c r="F9" s="25" t="n">
        <f aca="false">SUM(B9:E9)</f>
        <v>55500</v>
      </c>
    </row>
    <row r="10" customFormat="false" ht="15" hidden="false" customHeight="false" outlineLevel="0" collapsed="false">
      <c r="A10" s="23" t="s">
        <v>32</v>
      </c>
      <c r="B10" s="26" t="n">
        <v>11500</v>
      </c>
      <c r="C10" s="26" t="n">
        <v>14500</v>
      </c>
      <c r="D10" s="26" t="n">
        <v>15000</v>
      </c>
      <c r="E10" s="26" t="n">
        <v>16500</v>
      </c>
      <c r="F10" s="25" t="n">
        <f aca="false">SUM(B10:E10)</f>
        <v>57500</v>
      </c>
    </row>
    <row r="11" customFormat="false" ht="15" hidden="false" customHeight="false" outlineLevel="0" collapsed="false">
      <c r="A11" s="23" t="s">
        <v>34</v>
      </c>
      <c r="B11" s="26" t="n">
        <v>12000</v>
      </c>
      <c r="C11" s="26" t="n">
        <v>15000</v>
      </c>
      <c r="D11" s="26" t="n">
        <v>16000</v>
      </c>
      <c r="E11" s="26" t="n">
        <v>17500</v>
      </c>
      <c r="F11" s="25" t="n">
        <f aca="false">SUM(B11:E11)</f>
        <v>60500</v>
      </c>
    </row>
    <row r="12" customFormat="false" ht="15" hidden="false" customHeight="false" outlineLevel="0" collapsed="false">
      <c r="A12" s="23" t="s">
        <v>36</v>
      </c>
      <c r="B12" s="26" t="n">
        <v>14500</v>
      </c>
      <c r="C12" s="26" t="n">
        <v>18000</v>
      </c>
      <c r="D12" s="26" t="n">
        <v>18500</v>
      </c>
      <c r="E12" s="26" t="n">
        <v>20500</v>
      </c>
      <c r="F12" s="25" t="n">
        <f aca="false">SUM(B12:E12)</f>
        <v>71500</v>
      </c>
    </row>
    <row r="13" customFormat="false" ht="15" hidden="false" customHeight="false" outlineLevel="0" collapsed="false">
      <c r="A13" s="23" t="s">
        <v>38</v>
      </c>
      <c r="B13" s="26" t="n">
        <v>16000</v>
      </c>
      <c r="C13" s="26" t="n">
        <v>20000</v>
      </c>
      <c r="D13" s="26" t="n">
        <v>21000</v>
      </c>
      <c r="E13" s="26" t="n">
        <v>23000</v>
      </c>
      <c r="F13" s="25" t="n">
        <f aca="false">SUM(B13:E13)</f>
        <v>80000</v>
      </c>
    </row>
    <row r="15" customFormat="false" ht="15" hidden="false" customHeight="false" outlineLevel="0" collapsed="false">
      <c r="A15" s="2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2" t="s">
        <v>664</v>
      </c>
    </row>
    <row r="2" customFormat="false" ht="15" hidden="false" customHeight="false" outlineLevel="0" collapsed="false">
      <c r="A2" s="6" t="s">
        <v>61</v>
      </c>
      <c r="B2" s="6" t="s">
        <v>11</v>
      </c>
      <c r="C2" s="6" t="s">
        <v>665</v>
      </c>
    </row>
    <row r="3" customFormat="false" ht="15" hidden="false" customHeight="false" outlineLevel="0" collapsed="false">
      <c r="A3" s="23" t="str">
        <f aca="false">Products!A2</f>
        <v>Laptop Pro 14</v>
      </c>
      <c r="B3" s="25" t="n">
        <f aca="false">SUMPRODUCT(('Sales Data'!$F$2:$F$571=A3)*(((Dashboard!$C$5="All")+('Sales Data'!$D$2:$D$571=Dashboard!$C$5))&gt;0)*'Sales Data'!$J$2:$J$571)</f>
        <v>100700</v>
      </c>
      <c r="C3" s="25" t="n">
        <f aca="false">B3+ROW()/100000</f>
        <v>100700.00003</v>
      </c>
    </row>
    <row r="4" customFormat="false" ht="15" hidden="false" customHeight="false" outlineLevel="0" collapsed="false">
      <c r="A4" s="23" t="str">
        <f aca="false">Products!A3</f>
        <v>Laptop Air 13</v>
      </c>
      <c r="B4" s="25" t="n">
        <f aca="false">SUMPRODUCT(('Sales Data'!$F$2:$F$571=A4)*(((Dashboard!$C$5="All")+('Sales Data'!$D$2:$D$571=Dashboard!$C$5))&gt;0)*'Sales Data'!$J$2:$J$571)</f>
        <v>94380</v>
      </c>
      <c r="C4" s="25" t="n">
        <f aca="false">B4+ROW()/100000</f>
        <v>94380.00004</v>
      </c>
    </row>
    <row r="5" customFormat="false" ht="15" hidden="false" customHeight="false" outlineLevel="0" collapsed="false">
      <c r="A5" s="23" t="str">
        <f aca="false">Products!A4</f>
        <v>Gaming Laptop X</v>
      </c>
      <c r="B5" s="25" t="n">
        <f aca="false">SUMPRODUCT(('Sales Data'!$F$2:$F$571=A5)*(((Dashboard!$C$5="All")+('Sales Data'!$D$2:$D$571=Dashboard!$C$5))&gt;0)*'Sales Data'!$J$2:$J$571)</f>
        <v>71550</v>
      </c>
      <c r="C5" s="25" t="n">
        <f aca="false">B5+ROW()/100000</f>
        <v>71550.00005</v>
      </c>
    </row>
    <row r="6" customFormat="false" ht="15" hidden="false" customHeight="false" outlineLevel="0" collapsed="false">
      <c r="A6" s="23" t="str">
        <f aca="false">Products!A5</f>
        <v>Phone S23</v>
      </c>
      <c r="B6" s="25" t="n">
        <f aca="false">SUMPRODUCT(('Sales Data'!$F$2:$F$571=A6)*(((Dashboard!$C$5="All")+('Sales Data'!$D$2:$D$571=Dashboard!$C$5))&gt;0)*'Sales Data'!$J$2:$J$571)</f>
        <v>64640</v>
      </c>
      <c r="C6" s="25" t="n">
        <f aca="false">B6+ROW()/100000</f>
        <v>64640.00006</v>
      </c>
    </row>
    <row r="7" customFormat="false" ht="15" hidden="false" customHeight="false" outlineLevel="0" collapsed="false">
      <c r="A7" s="23" t="str">
        <f aca="false">Products!A6</f>
        <v>Phone Lite</v>
      </c>
      <c r="B7" s="25" t="n">
        <f aca="false">SUMPRODUCT(('Sales Data'!$F$2:$F$571=A7)*(((Dashboard!$C$5="All")+('Sales Data'!$D$2:$D$571=Dashboard!$C$5))&gt;0)*'Sales Data'!$J$2:$J$571)</f>
        <v>41760</v>
      </c>
      <c r="C7" s="25" t="n">
        <f aca="false">B7+ROW()/100000</f>
        <v>41760.00007</v>
      </c>
    </row>
    <row r="8" customFormat="false" ht="15" hidden="false" customHeight="false" outlineLevel="0" collapsed="false">
      <c r="A8" s="23" t="str">
        <f aca="false">Products!A7</f>
        <v>Tablet 11</v>
      </c>
      <c r="B8" s="25" t="n">
        <f aca="false">SUMPRODUCT(('Sales Data'!$F$2:$F$571=A8)*(((Dashboard!$C$5="All")+('Sales Data'!$D$2:$D$571=Dashboard!$C$5))&gt;0)*'Sales Data'!$J$2:$J$571)</f>
        <v>33180</v>
      </c>
      <c r="C8" s="25" t="n">
        <f aca="false">B8+ROW()/100000</f>
        <v>33180.00008</v>
      </c>
    </row>
    <row r="9" customFormat="false" ht="15" hidden="false" customHeight="false" outlineLevel="0" collapsed="false">
      <c r="A9" s="23" t="str">
        <f aca="false">Products!A8</f>
        <v>Tablet Mini</v>
      </c>
      <c r="B9" s="25" t="n">
        <f aca="false">SUMPRODUCT(('Sales Data'!$F$2:$F$571=A9)*(((Dashboard!$C$5="All")+('Sales Data'!$D$2:$D$571=Dashboard!$C$5))&gt;0)*'Sales Data'!$J$2:$J$571)</f>
        <v>20540</v>
      </c>
      <c r="C9" s="25" t="n">
        <f aca="false">B9+ROW()/100000</f>
        <v>20540.00009</v>
      </c>
    </row>
    <row r="10" customFormat="false" ht="15" hidden="false" customHeight="false" outlineLevel="0" collapsed="false">
      <c r="A10" s="23" t="str">
        <f aca="false">Products!A9</f>
        <v>Wireless Earbuds</v>
      </c>
      <c r="B10" s="25" t="n">
        <f aca="false">SUMPRODUCT(('Sales Data'!$F$2:$F$571=A10)*(((Dashboard!$C$5="All")+('Sales Data'!$D$2:$D$571=Dashboard!$C$5))&gt;0)*'Sales Data'!$J$2:$J$571)</f>
        <v>61200</v>
      </c>
      <c r="C10" s="25" t="n">
        <f aca="false">B10+ROW()/100000</f>
        <v>61200.0001</v>
      </c>
    </row>
    <row r="11" customFormat="false" ht="15" hidden="false" customHeight="false" outlineLevel="0" collapsed="false">
      <c r="A11" s="23" t="str">
        <f aca="false">Products!A10</f>
        <v>Smart Watch</v>
      </c>
      <c r="B11" s="25" t="n">
        <f aca="false">SUMPRODUCT(('Sales Data'!$F$2:$F$571=A11)*(((Dashboard!$C$5="All")+('Sales Data'!$D$2:$D$571=Dashboard!$C$5))&gt;0)*'Sales Data'!$J$2:$J$571)</f>
        <v>77520</v>
      </c>
      <c r="C11" s="25" t="n">
        <f aca="false">B11+ROW()/100000</f>
        <v>77520.00011</v>
      </c>
    </row>
    <row r="12" customFormat="false" ht="15" hidden="false" customHeight="false" outlineLevel="0" collapsed="false">
      <c r="A12" s="23" t="str">
        <f aca="false">Products!A11</f>
        <v>USB-C Hub</v>
      </c>
      <c r="B12" s="25" t="n">
        <f aca="false">SUMPRODUCT(('Sales Data'!$F$2:$F$571=A12)*(((Dashboard!$C$5="All")+('Sales Data'!$D$2:$D$571=Dashboard!$C$5))&gt;0)*'Sales Data'!$J$2:$J$571)</f>
        <v>25380</v>
      </c>
      <c r="C12" s="25" t="n">
        <f aca="false">B12+ROW()/100000</f>
        <v>25380.00012</v>
      </c>
    </row>
    <row r="13" customFormat="false" ht="15" hidden="false" customHeight="false" outlineLevel="0" collapsed="false">
      <c r="A13" s="23" t="str">
        <f aca="false">Products!A12</f>
        <v>27in Monitor</v>
      </c>
      <c r="B13" s="25" t="n">
        <f aca="false">SUMPRODUCT(('Sales Data'!$F$2:$F$571=A13)*(((Dashboard!$C$5="All")+('Sales Data'!$D$2:$D$571=Dashboard!$C$5))&gt;0)*'Sales Data'!$J$2:$J$571)</f>
        <v>15190</v>
      </c>
      <c r="C13" s="25" t="n">
        <f aca="false">B13+ROW()/100000</f>
        <v>15190.00013</v>
      </c>
    </row>
    <row r="14" customFormat="false" ht="15" hidden="false" customHeight="false" outlineLevel="0" collapsed="false">
      <c r="A14" s="23" t="str">
        <f aca="false">Products!A13</f>
        <v>Curved Monitor 32</v>
      </c>
      <c r="B14" s="25" t="n">
        <f aca="false">SUMPRODUCT(('Sales Data'!$F$2:$F$571=A14)*(((Dashboard!$C$5="All")+('Sales Data'!$D$2:$D$571=Dashboard!$C$5))&gt;0)*'Sales Data'!$J$2:$J$571)</f>
        <v>25440</v>
      </c>
      <c r="C14" s="25" t="n">
        <f aca="false">B14+ROW()/100000</f>
        <v>25440.00014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2026-09-27T09:00:28Z</dcterms:created>
  <dc:creator>openpyxl</dc:creator>
  <dc:description/>
  <dc:language>en-US</dc:language>
  <cp:lastModifiedBy/>
  <dcterms:modified xsi:type="dcterms:W3CDTF">2026-09-27T14:00:30Z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